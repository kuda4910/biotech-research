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Assumptions" sheetId="1" state="visible" r:id="rId3"/>
    <sheet name="Balance Sheet &amp; Runway" sheetId="2" state="visible" r:id="rId4"/>
    <sheet name="rNPV Model" sheetId="3" state="visible" r:id="rId5"/>
    <sheet name="DCF Model" sheetId="4" state="visible" r:id="rId6"/>
    <sheet name="Relative Valuation" sheetId="5" state="visible" r:id="rId7"/>
    <sheet name="Price Target Summary"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<sst xmlns="http://schemas.openxmlformats.org/spreadsheetml/2006/main" count="347" uniqueCount="329">
  <si>
    <t xml:space="preserve">SPRUCE BIOSCIENCES, INC. (NASDAQ: SPRB)</t>
  </si>
  <si>
    <t xml:space="preserve">rNPV / DCF / Relative Valuation Model  —  Prepared for internal research use  —  Not investment advice</t>
  </si>
  <si>
    <t xml:space="preserve">Analyst working file. Build date: 18-Jul-2026. Ticker data sourced from SEC filings, company press releases, and public market data (see Sources tab).</t>
  </si>
  <si>
    <t xml:space="preserve">COMPANY SNAPSHOT</t>
  </si>
  <si>
    <t xml:space="preserve">Ticker / Exchange</t>
  </si>
  <si>
    <t xml:space="preserve">SPRB / Nasdaq Capital Market</t>
  </si>
  <si>
    <t xml:space="preserve">Sector</t>
  </si>
  <si>
    <t xml:space="preserve">Biopharmaceuticals — Rare / Ultra-Orphan Disease</t>
  </si>
  <si>
    <t xml:space="preserve">Lead Asset</t>
  </si>
  <si>
    <t xml:space="preserve">Tralesinidase Alfa (TA-ERT) — enzyme replacement therapy for MPS IIIB (Sanfilippo Syndrome Type B)</t>
  </si>
  <si>
    <t xml:space="preserve">Secondary Asset</t>
  </si>
  <si>
    <t xml:space="preserve">SPR202 (CAH, licensed from HMNC Holding, up to $390mm in potential milestones) -- unmodeled optionality. NOTE: the tildacerfont/HMNC TAMARIND Phase 2 trial for Major Depressive Disorder was DISCONTINUED in Q1 2026 after a serious adverse event (significant liver enzyme elevation) -- this program is no longer a source of optionality value.</t>
  </si>
  <si>
    <t xml:space="preserve">Regulatory Status</t>
  </si>
  <si>
    <t xml:space="preserve">FDA Breakthrough Therapy Designation (TA-ERT, Oct 2025); BLA submission planned 4Q26; HS-biomarker accepted as basis for accelerated approval</t>
  </si>
  <si>
    <t xml:space="preserve">Stock price (last, source date)</t>
  </si>
  <si>
    <t xml:space="preserve">Updated from user-provided TradingView chart (SPRB, 1D), captured mid-Jul-2026: last=$43.54. Supersedes the earlier $52.51 (3-Jul-26) source figure — stock has since pulled back. HIGHLY VOLATILE, re-check before use.</t>
  </si>
  <si>
    <t xml:space="preserve">Basic shares outstanding (est., pro forma post Apr-26 offering)</t>
  </si>
  <si>
    <t xml:space="preserve">Reconciled 18-Jul-2026: user-provided Godel Terminal data shows Shares Out 2.8M / Market Cap $119.83M at $43.54, which implies 2,752,182 shares -- a near-exact match (&lt;100 shares) to this figure (1,372,278 confirmed 3/31/26 + ~1,380,000 est. from the Apr-2026 $69.0mm offering). This CONFIRMS the offering added common shares (or as-converted equivalents) to the actual outstanding count. A user-supplied TradingView fundamentals chart had appeared to show the reported count still flat at 1.372M post-offering, which led to an incorrect revision in a prior pass of this model -- the likely explanation is that TradingView's quarterly fundamentals series plots balance-sheet-date share counts (i.e., still shows the 31-Mar-26 figure) rather than a real-time count, so it simply hadn't caught up. Reverted to this estimate, cross-checked against Godel.</t>
  </si>
  <si>
    <t xml:space="preserve">Market capitalization (est.)</t>
  </si>
  <si>
    <t xml:space="preserve">Cash &amp; equivalents (pro forma, 30-Apr-26, preliminary)</t>
  </si>
  <si>
    <t xml:space="preserve">Company preliminary unaudited estimate disclosed in Q1-26 earnings release (13-May-2026); $54.1mm at 3/31/26 + ~$65mm net proceeds from $69.0mm gross Apr-26 offering, less fees.</t>
  </si>
  <si>
    <t xml:space="preserve">Guided cash runway</t>
  </si>
  <si>
    <t xml:space="preserve">Into 2H 2027 (past anticipated FDA approval / launch readiness)</t>
  </si>
  <si>
    <t xml:space="preserve">Note: 1-for-75 reverse stock split effective 4-Aug-2025</t>
  </si>
  <si>
    <t xml:space="preserve">All share/price figures below are POST-SPLIT unless noted.</t>
  </si>
  <si>
    <t xml:space="preserve">MASTER ASSUMPTIONS  (edit yellow cells — flow to rNPV, DCF &amp; Price Target tabs)</t>
  </si>
  <si>
    <t xml:space="preserve">Assumption</t>
  </si>
  <si>
    <t xml:space="preserve">Low</t>
  </si>
  <si>
    <t xml:space="preserve">Base</t>
  </si>
  <si>
    <t xml:space="preserve">High</t>
  </si>
  <si>
    <t xml:space="preserve">Unit</t>
  </si>
  <si>
    <t xml:space="preserve">Notes / Source</t>
  </si>
  <si>
    <t xml:space="preserve">Valuation date</t>
  </si>
  <si>
    <t xml:space="preserve">01/07/2026</t>
  </si>
  <si>
    <t xml:space="preserve">Mid-2026 val. date used for discounting.</t>
  </si>
  <si>
    <t xml:space="preserve">WACC / discount rate (DCF &amp; rNPV)</t>
  </si>
  <si>
    <t xml:space="preserve">Micro-cap, single-asset, pre-revenue biotech — high cost of capital vs. large-cap biotech (~8-10%).</t>
  </si>
  <si>
    <t xml:space="preserve">Overall probability of commercial success (rNPV risk-adjustment)</t>
  </si>
  <si>
    <t xml:space="preserve">Reflects BLA-ready status, Breakthrough Therapy Designation, and FDA alignment on HS biomarker as accelerated-approval endpoint — de-risked vs. typical Phase 3 asset, but commercial/reimbursement execution risk remains.</t>
  </si>
  <si>
    <t xml:space="preserve">US incidence — MPS IIIB (1 in N live births)</t>
  </si>
  <si>
    <t xml:space="preserve">1 in N</t>
  </si>
  <si>
    <t xml:space="preserve">Company materials cite ~1:200,000; published epidemiology ranges 1:70,000 (all MPS III) with IIIB a minority subtype — wide uncertainty. VALIDATE WITH KOLs.</t>
  </si>
  <si>
    <t xml:space="preserve">US live births / year</t>
  </si>
  <si>
    <t xml:space="preserve">CDC/NCHS approx. steady-state.</t>
  </si>
  <si>
    <t xml:space="preserve">EU5 incidence — MPS IIIB (1 in N live births)</t>
  </si>
  <si>
    <t xml:space="preserve">IIIB historically over-represented in Southern/Western Europe (Portugal, Greece, Netherlands) vs. IIIA in Northern Europe — assumption, not company guidance.</t>
  </si>
  <si>
    <t xml:space="preserve">EU5 live births / year</t>
  </si>
  <si>
    <t xml:space="preserve">Approx. DE/FR/IT/ES/UK aggregate.</t>
  </si>
  <si>
    <t xml:space="preserve">Diagnosed prevalent pool at launch (US+EU5, backlog)</t>
  </si>
  <si>
    <t xml:space="preserve">Ultra-rare, under-diagnosed disease; backlog of already-identified patients awaiting a therapy. Pure estimate — flagged as a data gap.</t>
  </si>
  <si>
    <t xml:space="preserve">Peak addressable-patient capture rate (of diagnosed pool)</t>
  </si>
  <si>
    <t xml:space="preserve">Ultra-rare CNS disease, no approved alternative, breakthrough designation supports high uptake once launched.</t>
  </si>
  <si>
    <t xml:space="preserve">Annual price per patient (US, list)</t>
  </si>
  <si>
    <t xml:space="preserve">Benchmarked to CNS/ICV-delivered ERT comps (Brineura $400-500k) from Spruce's own investor deck; TA-ERT admin (Ommaya reservoir) is more complex than IM/IV ERTs, supporting premium pricing.</t>
  </si>
  <si>
    <t xml:space="preserve">Ex-US net price as % of US price</t>
  </si>
  <si>
    <t xml:space="preserve">Typical US/ex-US rare-disease price differential.</t>
  </si>
  <si>
    <t xml:space="preserve">Annual price escalation</t>
  </si>
  <si>
    <t xml:space="preserve">Modest annual list price growth, typical for rare disease ERTs.</t>
  </si>
  <si>
    <t xml:space="preserve">COGS as % of net sales</t>
  </si>
  <si>
    <t xml:space="preserve">Biologic manufactured via mammalian cell culture + ICV delivery device/kit costs; assumed to improve with scale.</t>
  </si>
  <si>
    <t xml:space="preserve">BioMarin royalty on worldwide net sales</t>
  </si>
  <si>
    <t xml:space="preserve">Per license: 'high-single-digit to low-teens' royalty to BioMarin (worldwide exclusive license for TA-ERT). Base case = 10%.</t>
  </si>
  <si>
    <t xml:space="preserve">BioMarin regulatory/dev. milestone (paid at BLA approval)</t>
  </si>
  <si>
    <t xml:space="preserve">Disclosed cap per license terms (of up to $122.5mm total; $22.5mm is dev/reg tranche).</t>
  </si>
  <si>
    <t xml:space="preserve">BioMarin sales milestones (cumulative, paid as thresholds hit)</t>
  </si>
  <si>
    <t xml:space="preserve">Disclosed cap per license terms; modeled as triggered on cumulative net sales thresholds (see rNPV tab).</t>
  </si>
  <si>
    <t xml:space="preserve">SG&amp;A at steady state (% of net sales)</t>
  </si>
  <si>
    <t xml:space="preserve">Small commercial team (~10 people per investor deck) targeting an ultra-niche prescriber base; leverages as revenue scales.</t>
  </si>
  <si>
    <t xml:space="preserve">Pre-launch R&amp;D + G&amp;A run-rate (annual, 2026-2027)</t>
  </si>
  <si>
    <t xml:space="preserve">Q1-26 opex annualized (~$48mm) with commercial build-out into launch; Low case = higher spend / slower efficiency.</t>
  </si>
  <si>
    <t xml:space="preserve">Tax rate (long-run, if profitable)</t>
  </si>
  <si>
    <t xml:space="preserve">US federal + state blended; NOLs shelter early profits (not separately modeled — conservative).</t>
  </si>
  <si>
    <t xml:space="preserve">IP / regulatory exclusivity horizon</t>
  </si>
  <si>
    <t xml:space="preserve">2037</t>
  </si>
  <si>
    <t xml:space="preserve">year</t>
  </si>
  <si>
    <t xml:space="preserve">Per company materials: 'IP Exclusivity to 2037'.</t>
  </si>
  <si>
    <t xml:space="preserve">Priority Review Voucher (PRV) monetization value, if awarded</t>
  </si>
  <si>
    <t xml:space="preserve">Contingent on reauthorization of the Rare Pediatric Disease PRV program + FDA approval. Recent PRV sales have ranged ~$30-150mm. NOT included in base rNPV/DCF — shown as an optionality add-on only.</t>
  </si>
  <si>
    <t xml:space="preserve">SCENARIO SELECTOR</t>
  </si>
  <si>
    <t xml:space="preserve">Active scenario for rNPV / DCF tabs (1=Low/Bear, 2=Base, 3=High/Bull)</t>
  </si>
  <si>
    <t xml:space="preserve">Change this single cell to 1, 2, or 3 to flip every downstream tab between Bear / Base / Bull cases.</t>
  </si>
  <si>
    <t xml:space="preserve">KEY DATA GAPS — WHERE YOUR BIOTECH CONTACTS COULD ADD REAL VALUE</t>
  </si>
  <si>
    <t xml:space="preserve">1. Diagnosed prevalent MPS IIIB patient counts by country (US, EU5) — patient-registry / KOL-level data would replace the epidemiology assumption above, which is currently a wide estimate.</t>
  </si>
  <si>
    <t xml:space="preserve">2. Realistic launch pricing expectations from payers/KOLs — is $500k/yr defensible for an ICV-delivered ERT requiring an implanted Ommaya reservoir, given payer pushback on ultra-high-cost pediatric therapies?</t>
  </si>
  <si>
    <t xml:space="preserve">3. Physician/caregiver perspective on uptake speed — how quickly would neurologists/geneticists identify and refer eligible patients (affects the ramp curve, not just peak share)?</t>
  </si>
  <si>
    <t xml:space="preserve">4. Confirmatory trial risk — clinical view on whether the 5-yr placebo-controlled confirmatory study (n=14) could produce a negative readout post-accelerated-approval that triggers withdrawal (low-probability, high-severity tail risk not separately modeled).</t>
  </si>
  <si>
    <t xml:space="preserve">5. Manufacturing/COGS reality check — ICV/Ommaya delivered biologics carry higher COGS and cold-chain/administration burden than IV ERTs; a manufacturing/CMC contact could sanity-check the 12-25% COGS range used here.</t>
  </si>
  <si>
    <t xml:space="preserve">6. Any read on BioMarin's residual strategic interest (they retain royalty/milestone economics on TA-ERT and are the dominant MPS/ERT commercial franchise — would they ever re-acquire this asset post-approval?).</t>
  </si>
  <si>
    <t xml:space="preserve">7. Confirmed fully-diluted share count post the April 2026 offering (10-Q not yet reviewed in detail here) — materially affects per-share output.</t>
  </si>
  <si>
    <t xml:space="preserve">BALANCE SHEET, CAPITAL STRUCTURE &amp; CASH RUNWAY</t>
  </si>
  <si>
    <t xml:space="preserve">BALANCE SHEET SNAPSHOT (as reported, $ actuals)</t>
  </si>
  <si>
    <t xml:space="preserve">31-Dec-2024</t>
  </si>
  <si>
    <t xml:space="preserve">31-Dec-2025</t>
  </si>
  <si>
    <t xml:space="preserve">31-Mar-2026</t>
  </si>
  <si>
    <t xml:space="preserve">30-Apr-2026 (prelim.)</t>
  </si>
  <si>
    <t xml:space="preserve">Cash &amp; cash equivalents</t>
  </si>
  <si>
    <t xml:space="preserve">10-K/10-Q &amp; Q1-26 press release (13-May-26); 30-Apr-26 figure is the company's preliminary unaudited pro forma estimate post-offering, not GAAP-filed.</t>
  </si>
  <si>
    <t xml:space="preserve">Total assets</t>
  </si>
  <si>
    <t xml:space="preserve">Q1-26 10-Q.</t>
  </si>
  <si>
    <t xml:space="preserve">Total liabilities</t>
  </si>
  <si>
    <t xml:space="preserve">Q1-26 10-Q; includes Avenue Capital term loan + lease + accrued liabilities.</t>
  </si>
  <si>
    <t xml:space="preserve">Total stockholders' equity</t>
  </si>
  <si>
    <t xml:space="preserve">DEBT SCHEDULE — AVENUE CAPITAL TERM LOAN (Jan-2026)</t>
  </si>
  <si>
    <t xml:space="preserve">Facility size (up to)</t>
  </si>
  <si>
    <t xml:space="preserve">Signed January 2026; tranched drawdowns tied to time/milestone conditions (Tranche 2/3).</t>
  </si>
  <si>
    <t xml:space="preserve">Maturity</t>
  </si>
  <si>
    <t xml:space="preserve">01-Jul-2029</t>
  </si>
  <si>
    <t xml:space="preserve">Per 10-Q disclosure of the 'Avenue Maturity Date'.</t>
  </si>
  <si>
    <t xml:space="preserve">Illustrative all-in interest cost</t>
  </si>
  <si>
    <t xml:space="preserve">Estimate for a secured venture-debt facility to a sub-scale biotech; exact coupon not itemized in filings reviewed.</t>
  </si>
  <si>
    <t xml:space="preserve">Prepayment fee (Year 1)</t>
  </si>
  <si>
    <t xml:space="preserve">3.0% of outstanding principal if prepaid within 12 months of closing; steps down thereafter.</t>
  </si>
  <si>
    <t xml:space="preserve">Financial covenants</t>
  </si>
  <si>
    <t xml:space="preserve">None disclosed (no minimum cash covenant per 10-Q)</t>
  </si>
  <si>
    <t xml:space="preserve">Reduces near-term restructuring/covenant-breach risk vs. typical venture debt.</t>
  </si>
  <si>
    <t xml:space="preserve">RECENT FINANCING ACTIVITY (dilution / capital raised)</t>
  </si>
  <si>
    <t xml:space="preserve">Date</t>
  </si>
  <si>
    <t xml:space="preserve">Instrument</t>
  </si>
  <si>
    <t xml:space="preserve">Gross proceeds</t>
  </si>
  <si>
    <t xml:space="preserve">Terms</t>
  </si>
  <si>
    <t xml:space="preserve">Jul-2025</t>
  </si>
  <si>
    <t xml:space="preserve">Reverse stock split (1-for-75)</t>
  </si>
  <si>
    <t xml:space="preserve">42.2mm shares -&gt; ~0.6mm shares; regained Nasdaq bid-price compliance.</t>
  </si>
  <si>
    <t xml:space="preserve">Jan-2026</t>
  </si>
  <si>
    <t xml:space="preserve">Avenue Capital term loan</t>
  </si>
  <si>
    <t xml:space="preserve">Tranched venture debt; no min. cash covenant disclosed.</t>
  </si>
  <si>
    <t xml:space="preserve">Nov-2025</t>
  </si>
  <si>
    <t xml:space="preserve">S-3 shelf registration effective</t>
  </si>
  <si>
    <t xml:space="preserve">Standing shelf capacity for further ATM/offerings.</t>
  </si>
  <si>
    <t xml:space="preserve">Apr-2026</t>
  </si>
  <si>
    <t xml:space="preserve">Underwritten public offering (common + pre-funded warrants)</t>
  </si>
  <si>
    <t xml:space="preserve">Priced ~$50/sh; closed April 2026; extended runway from 4Q26 guidance into 2H27 guidance.</t>
  </si>
  <si>
    <t xml:space="preserve">CASH RUNWAY BUILD (opex-only check, excludes launch revenue — see rNPV tab for full P&amp;L)</t>
  </si>
  <si>
    <t xml:space="preserve">2026E</t>
  </si>
  <si>
    <t xml:space="preserve">2027E</t>
  </si>
  <si>
    <t xml:space="preserve">2028E</t>
  </si>
  <si>
    <t xml:space="preserve">Notes</t>
  </si>
  <si>
    <t xml:space="preserve">Beginning cash (pro forma, incl. Apr-26 raise)</t>
  </si>
  <si>
    <t xml:space="preserve">(-) Operating cash burn (R&amp;D + G&amp;A, pre-commercial)</t>
  </si>
  <si>
    <t xml:space="preserve">2027E assumes higher spend for commercial launch build-out (+15%); 2028E assumes commercial revenue is by then materially offsetting cash opex (see rNPV tab) — shown lower here to avoid double counting.</t>
  </si>
  <si>
    <t xml:space="preserve">(-) Debt service (interest on Avenue facility, illustrative)</t>
  </si>
  <si>
    <t xml:space="preserve">Interest-only approximation; principal amortization begins after the interest-only period per Avenue Loan Agreement (not separately scheduled).</t>
  </si>
  <si>
    <t xml:space="preserve">(-) BioMarin regulatory milestone (paid at BLA approval)</t>
  </si>
  <si>
    <t xml:space="preserve">Assumes BLA approval / associated $22.5mm milestone to BioMarin lands in 2027.</t>
  </si>
  <si>
    <t xml:space="preserve">Ending cash (before further financing)</t>
  </si>
  <si>
    <t xml:space="preserve">Runway conclusion: on these assumptions (no further capital raised, opex-only, no launch revenue credited), modeled cash lasts into 2027 — broadly consistent with management's stated guidance of runway into 2H 2027, since that guidance implicitly assumes early launch revenue and/or further ATM draws start contributing before cash is exhausted. Treat this as a conservative floor, not a base case forecast. The company retains standing shelf capacity (Nov-2025 S-3) and is very likely to raise additional capital around the BLA submission/approval window regardless of clinical outcome — further dilution should be expected.</t>
  </si>
  <si>
    <t xml:space="preserve">SHARE COUNT &amp; DILUTION (post 1-for-75 reverse split, all figures in shares)</t>
  </si>
  <si>
    <t xml:space="preserve">Common shares outstanding, 31-Mar-2026</t>
  </si>
  <si>
    <t xml:space="preserve">Q1-26 10-Q cover page.</t>
  </si>
  <si>
    <t xml:space="preserve">Est. new shares issued, Apr-2026 offering ($69.0mm gross @ ~$50/sh)</t>
  </si>
  <si>
    <t xml:space="preserve">Reconciled 18-Jul-2026 against user-supplied Godel Terminal data (Shares Out 2.8M, Mkt Cap $119.83M @ $43.54 -&gt; implies 2,752,182 shares, matching 1,372,278 + this line almost exactly). This confirms the Apr-2026 offering did add to the actual outstanding share count. Still an estimate pending the Q2-26 10-Q, but now cross-validated by a second independent data source.</t>
  </si>
  <si>
    <t xml:space="preserve">Est. basic shares outstanding, pro forma</t>
  </si>
  <si>
    <t xml:space="preserve">Equity awards (options + RSUs) outstanding, est.</t>
  </si>
  <si>
    <t xml:space="preserve">Scaled from Dec-2024 disclosure (5.8mm pre-split -&gt; ~77k post-split) plus 2025-26 inducement/annual grants seen in Form 4 filings. Confirm exact count.</t>
  </si>
  <si>
    <t xml:space="preserve">Warrants outstanding, est.</t>
  </si>
  <si>
    <t xml:space="preserve">Feb-2023 private-placement warrants (12.7mm pre-split -&gt; ~169k post-split), likely partly exercised/expired since. Confirm exact count -- wide uncertainty flagged. (Apr-2026 offering shares are now counted in the basic share line above, not here -- see reconciliation note there.)</t>
  </si>
  <si>
    <t xml:space="preserve">Fully-diluted shares outstanding, est.</t>
  </si>
  <si>
    <t xml:space="preserve">rNPV MODEL — RISK-ADJUSTED NET PRESENT VALUE (Absolute Valuation)</t>
  </si>
  <si>
    <t xml:space="preserve">All figures in USD unless noted. Blue = input / linked assumption. Explicit forecast 2026-2040 (through IP exclusivity horizon of 2037 + 3-year post-cliff decline). Active scenario driven by the selector on the Cover &amp; Assumptions tab.</t>
  </si>
  <si>
    <t xml:space="preserve">EPIDEMIOLOGY &amp; PATIENT FORECAST — TA-ERT / MPS IIIB (US + EU5)</t>
  </si>
  <si>
    <t xml:space="preserve">Scenario in use (1=Low, 2=Base, 3=High)</t>
  </si>
  <si>
    <t xml:space="preserve">US new incident patients / year</t>
  </si>
  <si>
    <t xml:space="preserve">EU5 new incident patients / year</t>
  </si>
  <si>
    <t xml:space="preserve">Diagnosed prevalent pool at launch (US+EU5)</t>
  </si>
  <si>
    <t xml:space="preserve">Total addressable pool by peak (prevalent + ~5yrs new incidence)</t>
  </si>
  <si>
    <t xml:space="preserve">Peak capture rate (% of addressable pool on therapy)</t>
  </si>
  <si>
    <t xml:space="preserve">Peak treated patients (steady state)</t>
  </si>
  <si>
    <t xml:space="preserve">Key milestone / phase</t>
  </si>
  <si>
    <t xml:space="preserve">BLA filed 4Q</t>
  </si>
  <si>
    <t xml:space="preserve">Approval + launch</t>
  </si>
  <si>
    <t xml:space="preserve">Exclusivity ends</t>
  </si>
  <si>
    <t xml:space="preserve">% of peak patients on therapy (ramp / decline curve)</t>
  </si>
  <si>
    <t xml:space="preserve">Active treated patients</t>
  </si>
  <si>
    <t xml:space="preserve">REVENUE BUILD</t>
  </si>
  <si>
    <t xml:space="preserve">Blended net price per patient / year</t>
  </si>
  <si>
    <t xml:space="preserve">Gross-to-net product revenue</t>
  </si>
  <si>
    <t xml:space="preserve">OPERATING MODEL (unrisked — pre probability-of-success adjustment)</t>
  </si>
  <si>
    <t xml:space="preserve">COGS</t>
  </si>
  <si>
    <t xml:space="preserve">Gross profit</t>
  </si>
  <si>
    <t xml:space="preserve">BioMarin royalty on net sales</t>
  </si>
  <si>
    <t xml:space="preserve">BioMarin regulatory/dev. milestone</t>
  </si>
  <si>
    <t xml:space="preserve">BioMarin sales milestones (cumulative net sales triggers @ $75mm / $200mm)</t>
  </si>
  <si>
    <t xml:space="preserve">SG&amp;A</t>
  </si>
  <si>
    <t xml:space="preserve">Pre-launch R&amp;D + corporate G&amp;A (2026 only, in this model)</t>
  </si>
  <si>
    <t xml:space="preserve">EBIT (unrisked)</t>
  </si>
  <si>
    <t xml:space="preserve">Cash taxes (only when EBIT&gt;0, simplified — NOLs not modeled)</t>
  </si>
  <si>
    <t xml:space="preserve">Unrisked unlevered free cash flow</t>
  </si>
  <si>
    <t xml:space="preserve">RISK ADJUSTMENT &amp; DISCOUNTING</t>
  </si>
  <si>
    <t xml:space="preserve">Probability of commercial success applied (post-launch flows only)</t>
  </si>
  <si>
    <t xml:space="preserve">Pre-launch (2026) R&amp;D/G&amp;A spend is treated as a certain, already-committed cost (100% weight) since it is incurred whether or not the program ultimately succeeds; all 2027+ cash flows (revenue-dependent) are multiplied by the single overall probability of commercial success set on the Cover tab.</t>
  </si>
  <si>
    <t xml:space="preserve">Risk-adjusted (rNPV) cash flow</t>
  </si>
  <si>
    <t xml:space="preserve">Discount period (years from valuation date)</t>
  </si>
  <si>
    <t xml:space="preserve">Discount factor @ WACC</t>
  </si>
  <si>
    <t xml:space="preserve">PV of risk-adjusted cash flow</t>
  </si>
  <si>
    <t xml:space="preserve">rNPV SUMMARY &amp; IMPLIED PRICE TARGET</t>
  </si>
  <si>
    <t xml:space="preserve">Sum of PV, risk-adjusted operating cash flows (2026-2040)</t>
  </si>
  <si>
    <t xml:space="preserve">PRV monetization optionality (risk-adjusted, undiscounted add-on)</t>
  </si>
  <si>
    <t xml:space="preserve">Haircut further by 50% for PRV-program reauthorization risk, on top of the commercial-success probability already applied. Shown separately — excluded from the headline rNPV below to keep the core case conservative.</t>
  </si>
  <si>
    <t xml:space="preserve">Enterprise rNPV (core operating case, excl. PRV optionality)</t>
  </si>
  <si>
    <t xml:space="preserve">(+) Cash &amp; equivalents (pro forma, 30-Apr-26)</t>
  </si>
  <si>
    <t xml:space="preserve">(-) Total debt (Avenue facility, face value)</t>
  </si>
  <si>
    <t xml:space="preserve">Equity value (rNPV basis)</t>
  </si>
  <si>
    <t xml:space="preserve">Fully-diluted shares outstanding (est.)</t>
  </si>
  <si>
    <t xml:space="preserve">IMPLIED PRICE TARGET — rNPV METHOD</t>
  </si>
  <si>
    <t xml:space="preserve">Methodology note: this is a standard biotech risk-adjusted NPV (rNPV). All post-launch cash flows are probability-weighted by a single overall 'probability of commercial success' factor (Cover tab) reflecting combined regulatory approval risk, confirmatory-trial/withdrawal risk, and commercial-execution risk. Pre-launch committed spend is not risk-adjusted (it is incurred regardless of outcome). Change the scenario selector on the Cover tab (cell B43) to flip every number on this tab between Bear/Base/Bull cases.</t>
  </si>
  <si>
    <t xml:space="preserve">DCF MODEL — INTRINSIC VALUE IF TA-ERT SUCCEEDS (Unrisked Operating Case + Terminal Value)</t>
  </si>
  <si>
    <t xml:space="preserve">This tab pulls the identical revenue/cost engine from the rNPV tab but does NOT apply the probability-of-commercial-success haircut — it answers 'what is SPRB worth if TA-ERT is approved and launches as modeled?' It is the natural complement to the rNPV tab (which already answers 'what is it worth today, risk-adjusted?'). Compare the two: the gap between them is the value the market is being asked to underwrite on regulatory/commercial execution risk. A terminal value beyond 2040 captures a moderate post-exclusivity decline (biologics face slower biosimilar erosion than small molecules; no biosimilar TA-ERT competitor currently in development).</t>
  </si>
  <si>
    <t xml:space="preserve">UNRISKED FREE CASH FLOW (linked from rNPV tab operating build)</t>
  </si>
  <si>
    <t xml:space="preserve">Revenue</t>
  </si>
  <si>
    <t xml:space="preserve">Unrisked unlevered free cash flow (pre-terminal)</t>
  </si>
  <si>
    <t xml:space="preserve">TERMINAL VALUE (post-2040, reflecting exclusivity erosion)</t>
  </si>
  <si>
    <t xml:space="preserve">Terminal growth rate (post-2040, in perpetuity)</t>
  </si>
  <si>
    <t xml:space="preserve">Negative growth reflects continued volume/price erosion after 2037 exclusivity expiry; biologic manufacturing complexity limits (but does not eliminate) biosimilar entry risk vs. small-molecule patent cliffs.</t>
  </si>
  <si>
    <t xml:space="preserve">WACC (linked from Cover tab)</t>
  </si>
  <si>
    <t xml:space="preserve">Terminal value @ end of 2040 (Gordon growth on final-year UFCF)</t>
  </si>
  <si>
    <t xml:space="preserve">DISCOUNTING</t>
  </si>
  <si>
    <t xml:space="preserve">Discount period (years)</t>
  </si>
  <si>
    <t xml:space="preserve">PV of unrisked free cash flow</t>
  </si>
  <si>
    <t xml:space="preserve">PV of terminal value</t>
  </si>
  <si>
    <t xml:space="preserve">DCF SUMMARY &amp; IMPLIED PRICE TARGET (unrisked / success case)</t>
  </si>
  <si>
    <t xml:space="preserve">Sum of PV, explicit FCF (2026-2040)</t>
  </si>
  <si>
    <t xml:space="preserve">(+) PV of terminal value</t>
  </si>
  <si>
    <t xml:space="preserve">Enterprise value (DCF, unrisked)</t>
  </si>
  <si>
    <t xml:space="preserve">(-) Total debt (face value)</t>
  </si>
  <si>
    <t xml:space="preserve">Equity value (DCF basis)</t>
  </si>
  <si>
    <t xml:space="preserve">IMPLIED PRICE TARGET — DCF METHOD (success case, unrisked)</t>
  </si>
  <si>
    <t xml:space="preserve">Implied probability-weighted read-through: rNPV price / DCF price</t>
  </si>
  <si>
    <t xml:space="preserve">A rough cross-check: this ratio should sit near the overall probability-of-success assumption if the two models are internally consistent (rNPV ≈ DCF x PoS, before cash/debt/share-count differences wash out).</t>
  </si>
  <si>
    <t xml:space="preserve">Sensitivity reminder: this DCF is NOT a base-case fair value — it assumes TA-ERT succeeds commercially exactly as modeled, with no regulatory or execution risk discount. Use it as the ceiling case; use the rNPV tab as the probability-weighted 'fair value' estimate; use the Relative Valuation tab as a market-based cross-check.</t>
  </si>
  <si>
    <t xml:space="preserve">RELATIVE VALUATION — EV / PEAK-SALES MULTIPLE, DERIVED FROM PEERS</t>
  </si>
  <si>
    <t xml:space="preserve">Rebuilt 18-Jul-2026 to replace an earlier, cruder version of this tab (which had simply divided an assumed Zevra-like total market cap by SPRB's own small share count). This version instead derives an actual EV/Peak-Sales multiple from a true peer and applies it to SPRB's OWN modeled peak revenue — a proper relative valuation, not a share-count artifact.</t>
  </si>
  <si>
    <t xml:space="preserve">PEER SET AND WHY EACH ONE IS (OR ISN'T) USED FOR A MULTIPLE</t>
  </si>
  <si>
    <t xml:space="preserve">Company</t>
  </si>
  <si>
    <t xml:space="preserve">Mkt Cap</t>
  </si>
  <si>
    <t xml:space="preserve">Cash</t>
  </si>
  <si>
    <t xml:space="preserve">EV</t>
  </si>
  <si>
    <t xml:space="preserve">Peak sales est. (single asset)</t>
  </si>
  <si>
    <t xml:space="preserve">Used for multiple?</t>
  </si>
  <si>
    <t xml:space="preserve">Zevra Therapeutics (ZVRA)</t>
  </si>
  <si>
    <t xml:space="preserve">YES — primary anchor</t>
  </si>
  <si>
    <t xml:space="preserve">Commercial-stage, single-asset (MIPLYFFA/arimoclomol for Niemann-Pick Type C), ultra-rare, small patient pool, CHRONIC/recurring daily dosing -- the closest true economic analog to TA-ERT's revenue durability (a steady annuity once patients are on drug, not a one-time cure). Peak sales range $150-180mm per Street estimates (midpoint $165mm used); current run-rate still ramping (~$98mm annualized in Q1-26). Debt-free as of Q1-26.</t>
  </si>
  <si>
    <t xml:space="preserve">Ultragenyx Pharmaceutical (RARE) / UX111</t>
  </si>
  <si>
    <t xml:space="preserve">$2.1-2.3bn (whole co.)</t>
  </si>
  <si>
    <t xml:space="preserve">$534mm (Q1-26)</t>
  </si>
  <si>
    <t xml:space="preserve">n/a -- see note</t>
  </si>
  <si>
    <t xml:space="preserve">$150mm (Leerink); wide Street range $150mm-$1bn</t>
  </si>
  <si>
    <t xml:space="preserve">NO -- context only</t>
  </si>
  <si>
    <t xml:space="preserve">Excluded as a multiple source for two reasons: (1) Ultragenyx is a diversified commercial company (4 approved drugs generating ~$136mm/quarter) plus a ~$1.2bn royalty-monetization liability -- there is no clean way to isolate the EV attributable to UX111 alone; (2) UX111 is a ONE-TIME gene therapy. Its 'peak sales' figure reflects a front-loaded wave of one-time dosing that DECAYS once the diagnosed backlog is treated, unlike an ERT such as TA-ERT, which re-doses the same patients indefinitely and can sustain 'peak' revenue for a decade or more. A gene-therapy peak-sales multiple is therefore not directly transferable to a recurring-dose ERT -- using it would systematically overstate TA-ERT's value per dollar of peak sales, or understate it, depending on duration assumptions; it is genuinely ambiguous, so we exclude it from the multiple and use it only as an epidemiology/pricing sanity check (Leerink's 3,000-5,000 patient global estimate for the sister MPS IIIA subtype is a useful cross-check on our own MPS IIIB patient assumptions).</t>
  </si>
  <si>
    <t xml:space="preserve">IMPLIED EV / PEAK-SALES MULTIPLE (Zevra-derived)</t>
  </si>
  <si>
    <t xml:space="preserve">Zevra peak-sales estimate range used</t>
  </si>
  <si>
    <t xml:space="preserve">Implied EV / Peak-Sales multiple</t>
  </si>
  <si>
    <t xml:space="preserve">Left = using Zevra's HIGH peak-sales estimate ($180mm) -&gt; LOWER multiple (~3.1x). Right = using Zevra's LOW peak-sales estimate ($150mm) -&gt; HIGHER multiple (~3.7x). Base case below uses the $165mm midpoint -&gt; ~3.35x.</t>
  </si>
  <si>
    <t xml:space="preserve">Base-case multiple (midpoint peak sales)</t>
  </si>
  <si>
    <t xml:space="preserve">APPLIED TO SPRUCE BIOSCIENCES' OWN PROJECTED PEAK REVENUE</t>
  </si>
  <si>
    <t xml:space="preserve">Peak revenue figures below are read from the rNPV Model tab's own revenue build (row 20), captured by toggling the Cover tab's scenario selector through Base and Bull and recording the resulting maximum annual revenue. These are a manual snapshot (like the Price Target Summary tab's scenario log), not a live formula, because Excel/LibreOffice cannot evaluate two scenario states of the same workbook simultaneously -- re-run and update if you change any epidemiology/pricing assumption.</t>
  </si>
  <si>
    <t xml:space="preserve">Scenario</t>
  </si>
  <si>
    <t xml:space="preserve">SPRB peak revenue (own model)</t>
  </si>
  <si>
    <t xml:space="preserve">x Low multiple (3.1x)</t>
  </si>
  <si>
    <t xml:space="preserve">x Base multiple (3.4x)</t>
  </si>
  <si>
    <t xml:space="preserve">x High multiple (3.7x)</t>
  </si>
  <si>
    <t xml:space="preserve">Base case (Cover tab scenario = 2)</t>
  </si>
  <si>
    <t xml:space="preserve">Peak revenue $128.4mm occurs in 2036 in the Base-case rNPV run.</t>
  </si>
  <si>
    <t xml:space="preserve">Bull case (Cover tab scenario = 3)</t>
  </si>
  <si>
    <t xml:space="preserve">Peak revenue $321.3mm occurs in 2036 in the Bull-case rNPV run.</t>
  </si>
  <si>
    <t xml:space="preserve">IMPLIED EQUITY VALUE &amp; PRICE TARGET (Base-multiple column only, for clarity)</t>
  </si>
  <si>
    <t xml:space="preserve">Implied EV -- Base SPRB revenue x Base multiple</t>
  </si>
  <si>
    <t xml:space="preserve">Implied EV -- Bull SPRB revenue x Base multiple</t>
  </si>
  <si>
    <t xml:space="preserve">IMPLIED PRICE TARGET -- Base SPRB revenue, Zevra multiple</t>
  </si>
  <si>
    <t xml:space="preserve">IMPLIED PRICE TARGET -- Bull SPRB revenue, Zevra multiple</t>
  </si>
  <si>
    <t xml:space="preserve">SPRUCE BIOSCIENCES — CURRENT MARKET VALUATION (reference)</t>
  </si>
  <si>
    <t xml:space="preserve">SPRB stock price</t>
  </si>
  <si>
    <t xml:space="preserve">Implied market capitalization (reported shares)</t>
  </si>
  <si>
    <t xml:space="preserve">Read this against the DCF tab: this method's Base-case output comes out HIGHER than the DCF success-case price target ($28.85), even though both use the same underlying revenue projection. That gap is itself informative, not a mistake: a 3.1-3.7x peak-sales multiple derived from how the market actually prices Zevra implies a materially lower effective discount rate (and/or more credited growth beyond the explicit 2040 horizon) than this model's 15% WACC + no-terminal-value DCF construction. Neither number is 'right' -- they encode different assumptions about duration and cost of capital, and comparing them is the useful exercise, not picking a winner.</t>
  </si>
  <si>
    <t xml:space="preserve">PRICE TARGET SUMMARY</t>
  </si>
  <si>
    <t xml:space="preserve">Blends the rNPV (probability-weighted fair value), DCF (unrisked success case / ceiling), and relative-valuation cross-check. Current price and every method below update automatically when you change the scenario selector on the Cover tab.</t>
  </si>
  <si>
    <t xml:space="preserve">CURRENT MARKET REFERENCE</t>
  </si>
  <si>
    <t xml:space="preserve">SPRB current stock price</t>
  </si>
  <si>
    <t xml:space="preserve">Analyst consensus price target (Street, for reference only)</t>
  </si>
  <si>
    <t xml:space="preserve">Updated 18-Jul-2026. 11 sell-side analysts per MarketBeat: 8 Buy / 2 Hold / 1 Sell, average target ~$160-163, range $120-259. Recent notes: B. Riley (Buy, $160, new); JonesTrading (Buy, $135, explicitly credits PRV cash flow); Craig-Hallum (Buy, $140); Citizens JMP (Market Outperform, cut $170-&gt;$150 in May-26, was as high as $259 shortly after the Oct-25 BTD); HC Wainwright (Buy, cut $200-&gt;$150 in Jun-26); Leerink (Outperform, $160, explicitly cites SPRB trading below 1.0x their estimated peak-revenue opportunity); Guggenheim (Buy, initiated Jun-26). Weiss Ratings (a quantitative, non-underwriter rating service) is the lone Sell (D-) -- notable because it is the one voice without a banking relationship to the company. Leerink, Guggenheim and Oppenheimer were joint book-running managers on Spruce equity offerings -- a real conflict of interest worth weighing against their own Buy ratings.</t>
  </si>
  <si>
    <t xml:space="preserve">VALUATION METHOD OUTPUTS</t>
  </si>
  <si>
    <t xml:space="preserve">Method</t>
  </si>
  <si>
    <t xml:space="preserve">Implied price / share</t>
  </si>
  <si>
    <t xml:space="preserve">vs. current price</t>
  </si>
  <si>
    <t xml:space="preserve">Weight</t>
  </si>
  <si>
    <t xml:space="preserve">Weighted contribution</t>
  </si>
  <si>
    <t xml:space="preserve">What it represents</t>
  </si>
  <si>
    <t xml:space="preserve">rNPV (risk-adjusted fair value)</t>
  </si>
  <si>
    <t xml:space="preserve">Probability-weights the full regulatory/commercial risk into a single 'what is this worth today' number. Weighted most heavily as the most defensible base-case method for a pre-approval, single-asset biotech.</t>
  </si>
  <si>
    <t xml:space="preserve">DCF (unrisked success case / ceiling)</t>
  </si>
  <si>
    <t xml:space="preserve">Answers 'what is it worth if everything goes right' — useful as an upper anchor and for understanding how much of the current price is regulatory optionality vs. intrinsic operating value.</t>
  </si>
  <si>
    <t xml:space="preserve">Relative valuation (EV/Peak-Sales, Zevra-derived, Base case)</t>
  </si>
  <si>
    <t xml:space="preserve">Rebuilt 18-Jul-2026: now a proper EV/Peak-Sales multiple (~3.35x, derived from how the market actually prices Zevra Therapeutics against its own peak-sales estimate) applied to SPRB's own modeled peak revenue -- not a share-count artifact. Still the most assumption-sensitive of the three methods (peak revenue AND the peer multiple are both estimates), but now at least it is a real multiple applied to a real projection.</t>
  </si>
  <si>
    <t xml:space="preserve">BLENDED PRICE TARGET</t>
  </si>
  <si>
    <t xml:space="preserve">Weights are editable blue-shaded assumptions (should sum to 100%) — adjust to reflect your own conviction across methods.</t>
  </si>
  <si>
    <t xml:space="preserve">SCENARIO SENSITIVITY (rNPV price target by scenario)</t>
  </si>
  <si>
    <t xml:space="preserve">Note: manually step the scenario selector (Cover tab, cell B43) through 1/2/3 and record the rNPV price target below — kept as a manual log since Excel/LibreOffice formulas cannot self-iterate a single input cell across three states simultaneously.</t>
  </si>
  <si>
    <t xml:space="preserve">rNPV price target</t>
  </si>
  <si>
    <t xml:space="preserve">DCF price target</t>
  </si>
  <si>
    <t xml:space="preserve">1 = Bear (Low case)</t>
  </si>
  <si>
    <t xml:space="preserve">Set Cover tab B43 to this value, recalculate, then paste the resulting rNPV/DCF price targets here as static values for a quick 3-point range.</t>
  </si>
  <si>
    <t xml:space="preserve">2 = Base</t>
  </si>
  <si>
    <t xml:space="preserve">3 = Bull (High case)</t>
  </si>
  <si>
    <t xml:space="preserve">KEY SENSITIVITIES (directional — what moves the price target most)</t>
  </si>
  <si>
    <t xml:space="preserve">• Peak treated-patient count and diagnosed prevalent pool: the single largest swing factor. Base case assumes ~250 peak patients (US+EU5); a KOL-informed epidemiology update could move this ±50% or more.</t>
  </si>
  <si>
    <t xml:space="preserve">• Annual net price per patient: base case $500k. Payer pushback on an ICV/Ommaya-delivered ERT (vs. IV/SC competitors) is a real risk not separately probability-weighted here.</t>
  </si>
  <si>
    <t xml:space="preserve">• Overall probability of commercial success (base 78%): reflects strong regulatory de-risking (Breakthrough Therapy Designation, FDA alignment on HS biomarker, BLA-ready with no further studies required) — but a negative confirmatory-trial readout post-accelerated-approval remains a tail risk.</t>
  </si>
  <si>
    <t xml:space="preserve">• Discount rate (WACC, base 15%): reflects micro-cap, single-asset risk. A large-cap-style 8-10% WACC (arguably too generous for this profile) would materially increase all outputs.</t>
  </si>
  <si>
    <t xml:space="preserve">• BioMarin royalty/milestone economics (10% royalty + up to $122.5mm milestones): fixed by contract, meaningfully caps SPRB's own economics versus a fully-owned asset.</t>
  </si>
  <si>
    <t xml:space="preserve">• Further dilution: any additional capital raise (likely, given the runway math on the Balance Sheet tab) will increase the share count and mechanically reduce per-share value versus this estimate.</t>
  </si>
  <si>
    <t xml:space="preserve">SOURCES &amp; DATA PROVENANCE</t>
  </si>
  <si>
    <t xml:space="preserve">PRIMARY SOURCES USED IN THIS MODEL</t>
  </si>
  <si>
    <t xml:space="preserve">• SEC EDGAR — Spruce Biosciences filer page (CIK 0001683553): https://www.sec.gov/edgar/browse/?CIK=1683553&amp;owner=exclude</t>
  </si>
  <si>
    <t xml:space="preserve">• 8-K Ex-99.2, TA-ERT investor conference call deck, filed 15-Apr-2025 (BioMarin license terms, capital structure as of 31-Dec-2024, MPS ERT pricing/sales benchmark table): https://www.sec.gov/Archives/edgar/data/1683553/000095017025053944/sprb-ex99_2.htm</t>
  </si>
  <si>
    <t xml:space="preserve">• Q1 2026 earnings release, 13-May-2026 (cash, balance sheet, opex, pro forma post-offering cash) — BusinessWire / BioSpace / StockTitan reprints</t>
  </si>
  <si>
    <t xml:space="preserve">• Q1 2026 10-Q (share count as of 31-Mar-2026; Avenue Capital loan terms) — SEC EDGAR / StockTitan</t>
  </si>
  <si>
    <t xml:space="preserve">• 8-K, reverse stock split announcement, Jul-2025 (1-for-75 ratio, share count before/after): https://www.sec.gov/Archives/edgar/data/1683553/000095017025098340/sprb-ex99_1.htm</t>
  </si>
  <si>
    <t xml:space="preserve">• FY2023 and FY2024 quarterly earnings releases (tildacerfont CAH trial history — CAHmelia-203/204, CAHptain-205)</t>
  </si>
  <si>
    <t xml:space="preserve">• Fintel.io / StockTitan / OpenInsider — institutional ownership and Form 4 insider transaction summaries</t>
  </si>
  <si>
    <t xml:space="preserve">• StockAnalysis.com, Morningstar, Investing.com, MarketScreener, CNN Markets — SPRB stock price, analyst ratings/price targets, 52-week range</t>
  </si>
  <si>
    <t xml:space="preserve">• MacroTrends, PitchBook, CompaniesMarketCap, Yahoo Finance (ES) — peer company market capitalizations (BMRN, RARE, DNLI, RGNX, ZVRA)</t>
  </si>
  <si>
    <t xml:space="preserve">• Merlintrader.com research note (8-Jul-2026) — Ultragenyx UX111 (MPS IIIA) regulatory timeline</t>
  </si>
  <si>
    <t xml:space="preserve">• User-supplied research links (from uploaded PDF): Randall Ching DCF analysis (Google Doc, 21-Feb-26); Terry Chrisomalis Seeking Alpha article (7-Oct-26); Medical Patent News item on CAH/adrenal rest tumor patent (21-Mar-26); Martin Shkreli video commentary (Oct-2025 &amp; DCF summary); Spruce Biosciences pipeline &amp; IR pages</t>
  </si>
  <si>
    <t xml:space="preserve">NOT YET REVIEWED / RECOMMENDED NEXT STEPS</t>
  </si>
  <si>
    <t xml:space="preserve">• Full FY2025 10-K and Q1-2026 10-Q line-by-line (this model uses press-release-level detail; a full statement read would sharpen the opex build, lease liabilities, and exact diluted share reconciliation).</t>
  </si>
  <si>
    <t xml:space="preserve">• The user's own linked Google Doc analysis (Randall Ching, 21-Feb-26) and the Terry Chrisomalis Seeking Alpha article (7-Oct-26) were not fetched into this model (Google Docs requires sign-in; Seeking Alpha is paywalled) — recommend the user pull the key assumptions from those directly and we reconcile against this model.</t>
  </si>
  <si>
    <t xml:space="preserve">• Direct outreach to KOLs / geneticists on realistic MPS IIIB diagnosed-patient counts and treatment uptake expectations, per the user's offer — this is the single highest-value input missing from the model.</t>
  </si>
  <si>
    <t xml:space="preserve">• BioMarin's original rationale for out-licensing TA-ERT rather than developing it in-house — worth understanding whether this reflects portfolio prioritization (BioMarin has a much larger existing MPS/ERT franchise) or an asset-specific read on the opportunity.</t>
  </si>
  <si>
    <t xml:space="preserve">DISCLAIMER</t>
  </si>
  <si>
    <t xml:space="preserve">This workbook is an analytical working file prepared for research/educational purposes. It is not investment advice, a research report intended for distribution, or a solicitation to buy or sell any security. All estimates, especially epidemiology, pricing, and share-count figures, carry wide uncertainty bands and should be independently verified before being relied upon. Micro-cap, single-asset, pre-revenue biopharmaceutical equities carry substantial risk of loss, including total loss of capital.</t>
  </si>
</sst>
</file>

<file path=xl/styles.xml><?xml version="1.0" encoding="utf-8"?>
<styleSheet xmlns="http://schemas.openxmlformats.org/spreadsheetml/2006/main">
  <numFmts count="10">
    <numFmt numFmtId="164" formatCode="General"/>
    <numFmt numFmtId="165" formatCode="\$#,##0.00;&quot;($&quot;#,##0.00\);\-"/>
    <numFmt numFmtId="166" formatCode="#,##0;\(#,##0\);\-"/>
    <numFmt numFmtId="167" formatCode="\$#,##0;&quot;($&quot;#,##0\);\-"/>
    <numFmt numFmtId="168" formatCode="dd\-mmm\-yy"/>
    <numFmt numFmtId="169" formatCode="0.0%"/>
    <numFmt numFmtId="170" formatCode="#,##0.0;\(#,##0.0\);\-"/>
    <numFmt numFmtId="171" formatCode="0"/>
    <numFmt numFmtId="172" formatCode="0.000"/>
    <numFmt numFmtId="173" formatCode="0.0\x"/>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404040"/>
      <name val="Arial"/>
      <family val="0"/>
      <charset val="1"/>
    </font>
    <font>
      <i val="true"/>
      <sz val="8"/>
      <color rgb="FF808080"/>
      <name val="Arial"/>
      <family val="0"/>
      <charset val="1"/>
    </font>
    <font>
      <b val="true"/>
      <sz val="12"/>
      <color rgb="FF1F4E78"/>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
      <b val="true"/>
      <sz val="13"/>
      <color rgb="FF1F4E78"/>
      <name val="Arial"/>
      <family val="0"/>
      <charset val="1"/>
    </font>
    <font>
      <b val="true"/>
      <sz val="14"/>
      <color rgb="FF1F4E78"/>
      <name val="Arial"/>
      <family val="0"/>
      <charset val="1"/>
    </font>
  </fonts>
  <fills count="7">
    <fill>
      <patternFill patternType="none"/>
    </fill>
    <fill>
      <patternFill patternType="gray125"/>
    </fill>
    <fill>
      <patternFill patternType="solid">
        <fgColor rgb="FF1F4E78"/>
        <bgColor rgb="FF2E5F8A"/>
      </patternFill>
    </fill>
    <fill>
      <patternFill patternType="solid">
        <fgColor rgb="FFD9E2F3"/>
        <bgColor rgb="FFF2F2F2"/>
      </patternFill>
    </fill>
    <fill>
      <patternFill patternType="solid">
        <fgColor rgb="FFFFFF99"/>
        <bgColor rgb="FFF2F2F2"/>
      </patternFill>
    </fill>
    <fill>
      <patternFill patternType="solid">
        <fgColor rgb="FF2E5F8A"/>
        <bgColor rgb="FF1F4E78"/>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5" fontId="10" fillId="4"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6" fontId="10" fillId="4"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7" fontId="10" fillId="4" borderId="1" xfId="0" applyFont="true" applyBorder="tru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10" fillId="4" borderId="1" xfId="0" applyFont="true" applyBorder="true" applyAlignment="true" applyProtection="false">
      <alignment horizontal="general" vertical="bottom" textRotation="0" wrapText="false" indent="0" shrinkToFit="false"/>
      <protection locked="true" hidden="false"/>
    </xf>
    <xf numFmtId="169" fontId="10" fillId="4"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7" fontId="8" fillId="6"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6" fontId="8" fillId="6"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70" fontId="8" fillId="6" borderId="1" xfId="0" applyFont="true" applyBorder="true" applyAlignment="true" applyProtection="false">
      <alignment horizontal="general" vertical="bottom" textRotation="0" wrapText="false" indent="0" shrinkToFit="false"/>
      <protection locked="true" hidden="false"/>
    </xf>
    <xf numFmtId="170" fontId="8" fillId="6" borderId="0" xfId="0" applyFont="true" applyBorder="false" applyAlignment="true" applyProtection="false">
      <alignment horizontal="general" vertical="bottom" textRotation="0" wrapText="false" indent="0" shrinkToFit="false"/>
      <protection locked="true" hidden="false"/>
    </xf>
    <xf numFmtId="166" fontId="8" fillId="6" borderId="0" xfId="0" applyFont="true" applyBorder="false" applyAlignment="true" applyProtection="false">
      <alignment horizontal="general" vertical="bottom" textRotation="0" wrapText="false" indent="0" shrinkToFit="false"/>
      <protection locked="true" hidden="false"/>
    </xf>
    <xf numFmtId="169" fontId="8" fillId="6" borderId="0" xfId="0" applyFont="true" applyBorder="false" applyAlignment="true" applyProtection="false">
      <alignment horizontal="general" vertical="bottom" textRotation="0" wrapText="false" indent="0" shrinkToFit="false"/>
      <protection locked="true" hidden="false"/>
    </xf>
    <xf numFmtId="171" fontId="11" fillId="5"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general" vertical="bottom" textRotation="0" wrapText="false" indent="0" shrinkToFit="false"/>
      <protection locked="true" hidden="false"/>
    </xf>
    <xf numFmtId="172" fontId="9" fillId="0" borderId="1" xfId="0" applyFont="true" applyBorder="true" applyAlignment="true" applyProtection="false">
      <alignment horizontal="general" vertical="bottom" textRotation="0" wrapText="false" indent="0" shrinkToFit="false"/>
      <protection locked="true" hidden="false"/>
    </xf>
    <xf numFmtId="165" fontId="12" fillId="6" borderId="1" xfId="0" applyFont="true" applyBorder="tru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73" fontId="8" fillId="0" borderId="1" xfId="0" applyFont="true" applyBorder="true" applyAlignment="true" applyProtection="false">
      <alignment horizontal="general" vertical="bottom" textRotation="0" wrapText="false" indent="0" shrinkToFit="false"/>
      <protection locked="true" hidden="false"/>
    </xf>
    <xf numFmtId="173" fontId="9" fillId="0" borderId="1" xfId="0" applyFont="true" applyBorder="true" applyAlignment="true" applyProtection="false">
      <alignment horizontal="general" vertical="bottom" textRotation="0" wrapText="false" indent="0" shrinkToFit="false"/>
      <protection locked="true" hidden="false"/>
    </xf>
    <xf numFmtId="173" fontId="8" fillId="6"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5" fontId="13" fillId="6"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2E5F8A"/>
      <rgbColor rgb="FF969696"/>
      <rgbColor rgb="FF003366"/>
      <rgbColor rgb="FF339966"/>
      <rgbColor rgb="FF003300"/>
      <rgbColor rgb="FF333300"/>
      <rgbColor rgb="FF9933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7" min="2" style="1" width="16"/>
    <col collapsed="false" customWidth="true" hidden="false" outlineLevel="0" max="8" min="8" style="1" width="40"/>
  </cols>
  <sheetData>
    <row r="1" customFormat="false" ht="31.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3" customFormat="false" ht="15" hidden="false" customHeight="true" outlineLevel="0" collapsed="false">
      <c r="A3" s="4" t="s">
        <v>2</v>
      </c>
      <c r="B3" s="4"/>
      <c r="C3" s="4"/>
      <c r="D3" s="4"/>
      <c r="E3" s="4"/>
      <c r="F3" s="4"/>
      <c r="G3" s="4"/>
      <c r="H3" s="4"/>
    </row>
    <row r="5" customFormat="false" ht="15" hidden="false" customHeight="true" outlineLevel="0" collapsed="false">
      <c r="A5" s="5" t="s">
        <v>3</v>
      </c>
      <c r="B5" s="5"/>
      <c r="C5" s="5"/>
      <c r="D5" s="5"/>
      <c r="E5" s="5"/>
      <c r="F5" s="5"/>
      <c r="G5" s="5"/>
      <c r="H5" s="5"/>
    </row>
    <row r="6" customFormat="false" ht="15" hidden="false" customHeight="true" outlineLevel="0" collapsed="false">
      <c r="A6" s="6" t="s">
        <v>4</v>
      </c>
      <c r="B6" s="7" t="s">
        <v>5</v>
      </c>
      <c r="C6" s="7"/>
      <c r="D6" s="7"/>
      <c r="E6" s="7"/>
      <c r="F6" s="7"/>
      <c r="G6" s="7"/>
      <c r="H6" s="7"/>
    </row>
    <row r="7" customFormat="false" ht="15" hidden="false" customHeight="true" outlineLevel="0" collapsed="false">
      <c r="A7" s="6" t="s">
        <v>6</v>
      </c>
      <c r="B7" s="7" t="s">
        <v>7</v>
      </c>
      <c r="C7" s="7"/>
      <c r="D7" s="7"/>
      <c r="E7" s="7"/>
      <c r="F7" s="7"/>
      <c r="G7" s="7"/>
      <c r="H7" s="7"/>
    </row>
    <row r="8" customFormat="false" ht="27.75" hidden="false" customHeight="true" outlineLevel="0" collapsed="false">
      <c r="A8" s="6" t="s">
        <v>8</v>
      </c>
      <c r="B8" s="7" t="s">
        <v>9</v>
      </c>
      <c r="C8" s="7"/>
      <c r="D8" s="7"/>
      <c r="E8" s="7"/>
      <c r="F8" s="7"/>
      <c r="G8" s="7"/>
      <c r="H8" s="7"/>
    </row>
    <row r="9" customFormat="false" ht="27.75" hidden="false" customHeight="true" outlineLevel="0" collapsed="false">
      <c r="A9" s="6" t="s">
        <v>10</v>
      </c>
      <c r="B9" s="7" t="s">
        <v>11</v>
      </c>
      <c r="C9" s="7"/>
      <c r="D9" s="7"/>
      <c r="E9" s="7"/>
      <c r="F9" s="7"/>
      <c r="G9" s="7"/>
      <c r="H9" s="7"/>
    </row>
    <row r="10" customFormat="false" ht="27.75" hidden="false" customHeight="true" outlineLevel="0" collapsed="false">
      <c r="A10" s="6" t="s">
        <v>12</v>
      </c>
      <c r="B10" s="7" t="s">
        <v>13</v>
      </c>
      <c r="C10" s="7"/>
      <c r="D10" s="7"/>
      <c r="E10" s="7"/>
      <c r="F10" s="7"/>
      <c r="G10" s="7"/>
      <c r="H10" s="7"/>
    </row>
    <row r="11" customFormat="false" ht="15" hidden="false" customHeight="true" outlineLevel="0" collapsed="false">
      <c r="A11" s="6" t="s">
        <v>14</v>
      </c>
      <c r="B11" s="8" t="n">
        <v>43.54</v>
      </c>
      <c r="C11" s="9" t="s">
        <v>15</v>
      </c>
      <c r="D11" s="9"/>
      <c r="E11" s="9"/>
      <c r="F11" s="9"/>
    </row>
    <row r="12" customFormat="false" ht="15" hidden="false" customHeight="true" outlineLevel="0" collapsed="false">
      <c r="A12" s="6" t="s">
        <v>16</v>
      </c>
      <c r="B12" s="10" t="n">
        <v>2752278</v>
      </c>
      <c r="C12" s="9" t="s">
        <v>17</v>
      </c>
      <c r="D12" s="9"/>
      <c r="E12" s="9"/>
      <c r="F12" s="9"/>
    </row>
    <row r="13" customFormat="false" ht="15" hidden="false" customHeight="true" outlineLevel="0" collapsed="false">
      <c r="A13" s="6" t="s">
        <v>18</v>
      </c>
      <c r="B13" s="11" t="n">
        <f aca="false">B11*B12</f>
        <v>119834184.12</v>
      </c>
    </row>
    <row r="14" customFormat="false" ht="15" hidden="false" customHeight="true" outlineLevel="0" collapsed="false">
      <c r="A14" s="6" t="s">
        <v>19</v>
      </c>
      <c r="B14" s="12" t="n">
        <v>107300000</v>
      </c>
      <c r="C14" s="9" t="s">
        <v>20</v>
      </c>
      <c r="D14" s="9"/>
      <c r="E14" s="9"/>
      <c r="F14" s="9"/>
    </row>
    <row r="15" customFormat="false" ht="27.75" hidden="false" customHeight="true" outlineLevel="0" collapsed="false">
      <c r="A15" s="6" t="s">
        <v>21</v>
      </c>
      <c r="B15" s="7" t="s">
        <v>22</v>
      </c>
      <c r="C15" s="7"/>
      <c r="D15" s="7"/>
      <c r="E15" s="7"/>
      <c r="F15" s="7"/>
      <c r="G15" s="7"/>
      <c r="H15" s="7"/>
    </row>
    <row r="16" customFormat="false" ht="15" hidden="false" customHeight="true" outlineLevel="0" collapsed="false">
      <c r="A16" s="6" t="s">
        <v>23</v>
      </c>
      <c r="B16" s="1" t="s">
        <v>24</v>
      </c>
    </row>
    <row r="18" customFormat="false" ht="15" hidden="false" customHeight="true" outlineLevel="0" collapsed="false">
      <c r="A18" s="5" t="s">
        <v>25</v>
      </c>
      <c r="B18" s="5"/>
      <c r="C18" s="5"/>
      <c r="D18" s="5"/>
      <c r="E18" s="5"/>
      <c r="F18" s="5"/>
      <c r="G18" s="5"/>
      <c r="H18" s="5"/>
    </row>
    <row r="19" customFormat="false" ht="15" hidden="false" customHeight="true" outlineLevel="0" collapsed="false">
      <c r="A19" s="13" t="s">
        <v>26</v>
      </c>
      <c r="B19" s="13" t="s">
        <v>27</v>
      </c>
      <c r="C19" s="13" t="s">
        <v>28</v>
      </c>
      <c r="D19" s="13" t="s">
        <v>29</v>
      </c>
      <c r="E19" s="13" t="s">
        <v>30</v>
      </c>
      <c r="F19" s="13"/>
      <c r="G19" s="13" t="s">
        <v>31</v>
      </c>
      <c r="H19" s="13"/>
    </row>
    <row r="20" customFormat="false" ht="25.5" hidden="false" customHeight="true" outlineLevel="0" collapsed="false">
      <c r="A20" s="14" t="s">
        <v>32</v>
      </c>
      <c r="B20" s="15" t="s">
        <v>33</v>
      </c>
      <c r="C20" s="15" t="s">
        <v>33</v>
      </c>
      <c r="D20" s="15" t="s">
        <v>33</v>
      </c>
      <c r="E20" s="14"/>
      <c r="G20" s="9" t="s">
        <v>34</v>
      </c>
      <c r="H20" s="9"/>
    </row>
    <row r="21" customFormat="false" ht="25.5" hidden="false" customHeight="true" outlineLevel="0" collapsed="false">
      <c r="A21" s="14" t="s">
        <v>35</v>
      </c>
      <c r="B21" s="16" t="n">
        <v>0.12</v>
      </c>
      <c r="C21" s="16" t="n">
        <v>0.15</v>
      </c>
      <c r="D21" s="16" t="n">
        <v>0.18</v>
      </c>
      <c r="E21" s="14"/>
      <c r="G21" s="9" t="s">
        <v>36</v>
      </c>
      <c r="H21" s="9"/>
    </row>
    <row r="22" customFormat="false" ht="25.5" hidden="false" customHeight="true" outlineLevel="0" collapsed="false">
      <c r="A22" s="14" t="s">
        <v>37</v>
      </c>
      <c r="B22" s="16" t="n">
        <v>0.6</v>
      </c>
      <c r="C22" s="16" t="n">
        <v>0.78</v>
      </c>
      <c r="D22" s="16" t="n">
        <v>0.9</v>
      </c>
      <c r="E22" s="14"/>
      <c r="G22" s="9" t="s">
        <v>38</v>
      </c>
      <c r="H22" s="9"/>
    </row>
    <row r="23" customFormat="false" ht="25.5" hidden="false" customHeight="true" outlineLevel="0" collapsed="false">
      <c r="A23" s="14" t="s">
        <v>39</v>
      </c>
      <c r="B23" s="10" t="n">
        <v>300000</v>
      </c>
      <c r="C23" s="10" t="n">
        <v>200000</v>
      </c>
      <c r="D23" s="10" t="n">
        <v>150000</v>
      </c>
      <c r="E23" s="14" t="s">
        <v>40</v>
      </c>
      <c r="G23" s="9" t="s">
        <v>41</v>
      </c>
      <c r="H23" s="9"/>
    </row>
    <row r="24" customFormat="false" ht="25.5" hidden="false" customHeight="true" outlineLevel="0" collapsed="false">
      <c r="A24" s="14" t="s">
        <v>42</v>
      </c>
      <c r="B24" s="10" t="n">
        <v>3600000</v>
      </c>
      <c r="C24" s="10" t="n">
        <v>3600000</v>
      </c>
      <c r="D24" s="10" t="n">
        <v>3600000</v>
      </c>
      <c r="E24" s="14"/>
      <c r="G24" s="9" t="s">
        <v>43</v>
      </c>
      <c r="H24" s="9"/>
    </row>
    <row r="25" customFormat="false" ht="25.5" hidden="false" customHeight="true" outlineLevel="0" collapsed="false">
      <c r="A25" s="14" t="s">
        <v>44</v>
      </c>
      <c r="B25" s="10" t="n">
        <v>250000</v>
      </c>
      <c r="C25" s="10" t="n">
        <v>160000</v>
      </c>
      <c r="D25" s="10" t="n">
        <v>110000</v>
      </c>
      <c r="E25" s="14" t="s">
        <v>40</v>
      </c>
      <c r="G25" s="9" t="s">
        <v>45</v>
      </c>
      <c r="H25" s="9"/>
    </row>
    <row r="26" customFormat="false" ht="25.5" hidden="false" customHeight="true" outlineLevel="0" collapsed="false">
      <c r="A26" s="14" t="s">
        <v>46</v>
      </c>
      <c r="B26" s="10" t="n">
        <v>1500000</v>
      </c>
      <c r="C26" s="10" t="n">
        <v>1500000</v>
      </c>
      <c r="D26" s="10" t="n">
        <v>1500000</v>
      </c>
      <c r="E26" s="14"/>
      <c r="G26" s="9" t="s">
        <v>47</v>
      </c>
      <c r="H26" s="9"/>
    </row>
    <row r="27" customFormat="false" ht="25.5" hidden="false" customHeight="true" outlineLevel="0" collapsed="false">
      <c r="A27" s="14" t="s">
        <v>48</v>
      </c>
      <c r="B27" s="10" t="n">
        <v>120</v>
      </c>
      <c r="C27" s="10" t="n">
        <v>220</v>
      </c>
      <c r="D27" s="10" t="n">
        <v>340</v>
      </c>
      <c r="E27" s="14"/>
      <c r="G27" s="9" t="s">
        <v>49</v>
      </c>
      <c r="H27" s="9"/>
    </row>
    <row r="28" customFormat="false" ht="25.5" hidden="false" customHeight="true" outlineLevel="0" collapsed="false">
      <c r="A28" s="14" t="s">
        <v>50</v>
      </c>
      <c r="B28" s="16" t="n">
        <v>0.55</v>
      </c>
      <c r="C28" s="16" t="n">
        <v>0.7</v>
      </c>
      <c r="D28" s="16" t="n">
        <v>0.85</v>
      </c>
      <c r="E28" s="14"/>
      <c r="G28" s="9" t="s">
        <v>51</v>
      </c>
      <c r="H28" s="9"/>
    </row>
    <row r="29" customFormat="false" ht="25.5" hidden="false" customHeight="true" outlineLevel="0" collapsed="false">
      <c r="A29" s="14" t="s">
        <v>52</v>
      </c>
      <c r="B29" s="12" t="n">
        <v>400000</v>
      </c>
      <c r="C29" s="12" t="n">
        <v>500000</v>
      </c>
      <c r="D29" s="12" t="n">
        <v>600000</v>
      </c>
      <c r="E29" s="14"/>
      <c r="G29" s="9" t="s">
        <v>53</v>
      </c>
      <c r="H29" s="9"/>
    </row>
    <row r="30" customFormat="false" ht="25.5" hidden="false" customHeight="true" outlineLevel="0" collapsed="false">
      <c r="A30" s="14" t="s">
        <v>54</v>
      </c>
      <c r="B30" s="16" t="n">
        <v>0.55</v>
      </c>
      <c r="C30" s="16" t="n">
        <v>0.65</v>
      </c>
      <c r="D30" s="16" t="n">
        <v>0.75</v>
      </c>
      <c r="E30" s="14"/>
      <c r="G30" s="9" t="s">
        <v>55</v>
      </c>
      <c r="H30" s="9"/>
    </row>
    <row r="31" customFormat="false" ht="25.5" hidden="false" customHeight="true" outlineLevel="0" collapsed="false">
      <c r="A31" s="14" t="s">
        <v>56</v>
      </c>
      <c r="B31" s="16" t="n">
        <v>0.01</v>
      </c>
      <c r="C31" s="16" t="n">
        <v>0.02</v>
      </c>
      <c r="D31" s="16" t="n">
        <v>0.03</v>
      </c>
      <c r="E31" s="14"/>
      <c r="G31" s="9" t="s">
        <v>57</v>
      </c>
      <c r="H31" s="9"/>
    </row>
    <row r="32" customFormat="false" ht="25.5" hidden="false" customHeight="true" outlineLevel="0" collapsed="false">
      <c r="A32" s="14" t="s">
        <v>58</v>
      </c>
      <c r="B32" s="16" t="n">
        <v>0.25</v>
      </c>
      <c r="C32" s="16" t="n">
        <v>0.18</v>
      </c>
      <c r="D32" s="16" t="n">
        <v>0.12</v>
      </c>
      <c r="E32" s="14"/>
      <c r="G32" s="9" t="s">
        <v>59</v>
      </c>
      <c r="H32" s="9"/>
    </row>
    <row r="33" customFormat="false" ht="25.5" hidden="false" customHeight="true" outlineLevel="0" collapsed="false">
      <c r="A33" s="14" t="s">
        <v>60</v>
      </c>
      <c r="B33" s="16" t="n">
        <v>0.13</v>
      </c>
      <c r="C33" s="16" t="n">
        <v>0.1</v>
      </c>
      <c r="D33" s="16" t="n">
        <v>0.08</v>
      </c>
      <c r="E33" s="14"/>
      <c r="G33" s="9" t="s">
        <v>61</v>
      </c>
      <c r="H33" s="9"/>
    </row>
    <row r="34" customFormat="false" ht="25.5" hidden="false" customHeight="true" outlineLevel="0" collapsed="false">
      <c r="A34" s="14" t="s">
        <v>62</v>
      </c>
      <c r="B34" s="12" t="n">
        <v>22500000</v>
      </c>
      <c r="C34" s="12" t="n">
        <v>22500000</v>
      </c>
      <c r="D34" s="12" t="n">
        <v>22500000</v>
      </c>
      <c r="E34" s="14"/>
      <c r="G34" s="9" t="s">
        <v>63</v>
      </c>
      <c r="H34" s="9"/>
    </row>
    <row r="35" customFormat="false" ht="25.5" hidden="false" customHeight="true" outlineLevel="0" collapsed="false">
      <c r="A35" s="14" t="s">
        <v>64</v>
      </c>
      <c r="B35" s="12" t="n">
        <v>100000000</v>
      </c>
      <c r="C35" s="12" t="n">
        <v>100000000</v>
      </c>
      <c r="D35" s="12" t="n">
        <v>100000000</v>
      </c>
      <c r="E35" s="14"/>
      <c r="G35" s="9" t="s">
        <v>65</v>
      </c>
      <c r="H35" s="9"/>
    </row>
    <row r="36" customFormat="false" ht="25.5" hidden="false" customHeight="true" outlineLevel="0" collapsed="false">
      <c r="A36" s="14" t="s">
        <v>66</v>
      </c>
      <c r="B36" s="16" t="n">
        <v>0.45</v>
      </c>
      <c r="C36" s="16" t="n">
        <v>0.35</v>
      </c>
      <c r="D36" s="16" t="n">
        <v>0.28</v>
      </c>
      <c r="E36" s="14"/>
      <c r="G36" s="9" t="s">
        <v>67</v>
      </c>
      <c r="H36" s="9"/>
    </row>
    <row r="37" customFormat="false" ht="25.5" hidden="false" customHeight="true" outlineLevel="0" collapsed="false">
      <c r="A37" s="14" t="s">
        <v>68</v>
      </c>
      <c r="B37" s="12" t="n">
        <v>58000000</v>
      </c>
      <c r="C37" s="12" t="n">
        <v>48000000</v>
      </c>
      <c r="D37" s="12" t="n">
        <v>40000000</v>
      </c>
      <c r="E37" s="14"/>
      <c r="G37" s="9" t="s">
        <v>69</v>
      </c>
      <c r="H37" s="9"/>
    </row>
    <row r="38" customFormat="false" ht="25.5" hidden="false" customHeight="true" outlineLevel="0" collapsed="false">
      <c r="A38" s="14" t="s">
        <v>70</v>
      </c>
      <c r="B38" s="16" t="n">
        <v>0.25</v>
      </c>
      <c r="C38" s="16" t="n">
        <v>0.21</v>
      </c>
      <c r="D38" s="16" t="n">
        <v>0.18</v>
      </c>
      <c r="E38" s="14"/>
      <c r="G38" s="9" t="s">
        <v>71</v>
      </c>
      <c r="H38" s="9"/>
    </row>
    <row r="39" customFormat="false" ht="25.5" hidden="false" customHeight="true" outlineLevel="0" collapsed="false">
      <c r="A39" s="14" t="s">
        <v>72</v>
      </c>
      <c r="B39" s="17" t="s">
        <v>73</v>
      </c>
      <c r="C39" s="17" t="s">
        <v>73</v>
      </c>
      <c r="D39" s="17" t="s">
        <v>73</v>
      </c>
      <c r="E39" s="14" t="s">
        <v>74</v>
      </c>
      <c r="G39" s="9" t="s">
        <v>75</v>
      </c>
      <c r="H39" s="9"/>
    </row>
    <row r="40" customFormat="false" ht="25.5" hidden="false" customHeight="true" outlineLevel="0" collapsed="false">
      <c r="A40" s="14" t="s">
        <v>76</v>
      </c>
      <c r="B40" s="12" t="n">
        <v>20000000</v>
      </c>
      <c r="C40" s="12" t="n">
        <v>40000000</v>
      </c>
      <c r="D40" s="12" t="n">
        <v>100000000</v>
      </c>
      <c r="E40" s="14"/>
      <c r="G40" s="9" t="s">
        <v>77</v>
      </c>
      <c r="H40" s="9"/>
    </row>
    <row r="42" customFormat="false" ht="15" hidden="false" customHeight="true" outlineLevel="0" collapsed="false">
      <c r="A42" s="5" t="s">
        <v>78</v>
      </c>
      <c r="B42" s="5"/>
      <c r="C42" s="5"/>
      <c r="D42" s="5"/>
      <c r="E42" s="5"/>
      <c r="F42" s="5"/>
      <c r="G42" s="5"/>
      <c r="H42" s="5"/>
    </row>
    <row r="43" customFormat="false" ht="15" hidden="false" customHeight="true" outlineLevel="0" collapsed="false">
      <c r="A43" s="6" t="s">
        <v>79</v>
      </c>
      <c r="B43" s="10" t="n">
        <v>2</v>
      </c>
      <c r="C43" s="9" t="s">
        <v>80</v>
      </c>
      <c r="D43" s="9"/>
      <c r="E43" s="9"/>
      <c r="F43" s="9"/>
      <c r="G43" s="9"/>
    </row>
    <row r="45" customFormat="false" ht="15" hidden="false" customHeight="true" outlineLevel="0" collapsed="false">
      <c r="A45" s="5" t="s">
        <v>81</v>
      </c>
      <c r="B45" s="5"/>
      <c r="C45" s="5"/>
      <c r="D45" s="5"/>
      <c r="E45" s="5"/>
      <c r="F45" s="5"/>
      <c r="G45" s="5"/>
      <c r="H45" s="5"/>
    </row>
    <row r="46" customFormat="false" ht="27.75" hidden="false" customHeight="true" outlineLevel="0" collapsed="false">
      <c r="A46" s="9" t="s">
        <v>82</v>
      </c>
      <c r="B46" s="9"/>
      <c r="C46" s="9"/>
      <c r="D46" s="9"/>
      <c r="E46" s="9"/>
      <c r="F46" s="9"/>
      <c r="G46" s="9"/>
      <c r="H46" s="9"/>
    </row>
    <row r="47" customFormat="false" ht="27.75" hidden="false" customHeight="true" outlineLevel="0" collapsed="false">
      <c r="A47" s="9" t="s">
        <v>83</v>
      </c>
      <c r="B47" s="9"/>
      <c r="C47" s="9"/>
      <c r="D47" s="9"/>
      <c r="E47" s="9"/>
      <c r="F47" s="9"/>
      <c r="G47" s="9"/>
      <c r="H47" s="9"/>
    </row>
    <row r="48" customFormat="false" ht="27.75" hidden="false" customHeight="true" outlineLevel="0" collapsed="false">
      <c r="A48" s="9" t="s">
        <v>84</v>
      </c>
      <c r="B48" s="9"/>
      <c r="C48" s="9"/>
      <c r="D48" s="9"/>
      <c r="E48" s="9"/>
      <c r="F48" s="9"/>
      <c r="G48" s="9"/>
      <c r="H48" s="9"/>
    </row>
    <row r="49" customFormat="false" ht="27.75" hidden="false" customHeight="true" outlineLevel="0" collapsed="false">
      <c r="A49" s="9" t="s">
        <v>85</v>
      </c>
      <c r="B49" s="9"/>
      <c r="C49" s="9"/>
      <c r="D49" s="9"/>
      <c r="E49" s="9"/>
      <c r="F49" s="9"/>
      <c r="G49" s="9"/>
      <c r="H49" s="9"/>
    </row>
    <row r="50" customFormat="false" ht="27.75" hidden="false" customHeight="true" outlineLevel="0" collapsed="false">
      <c r="A50" s="9" t="s">
        <v>86</v>
      </c>
      <c r="B50" s="9"/>
      <c r="C50" s="9"/>
      <c r="D50" s="9"/>
      <c r="E50" s="9"/>
      <c r="F50" s="9"/>
      <c r="G50" s="9"/>
      <c r="H50" s="9"/>
    </row>
    <row r="51" customFormat="false" ht="27.75" hidden="false" customHeight="true" outlineLevel="0" collapsed="false">
      <c r="A51" s="9" t="s">
        <v>87</v>
      </c>
      <c r="B51" s="9"/>
      <c r="C51" s="9"/>
      <c r="D51" s="9"/>
      <c r="E51" s="9"/>
      <c r="F51" s="9"/>
      <c r="G51" s="9"/>
      <c r="H51" s="9"/>
    </row>
    <row r="52" customFormat="false" ht="27.75" hidden="false" customHeight="true" outlineLevel="0" collapsed="false">
      <c r="A52" s="9" t="s">
        <v>88</v>
      </c>
      <c r="B52" s="9"/>
      <c r="C52" s="9"/>
      <c r="D52" s="9"/>
      <c r="E52" s="9"/>
      <c r="F52" s="9"/>
      <c r="G52" s="9"/>
      <c r="H52" s="9"/>
    </row>
  </sheetData>
  <mergeCells count="45">
    <mergeCell ref="A1:H1"/>
    <mergeCell ref="A2:H2"/>
    <mergeCell ref="A3:H3"/>
    <mergeCell ref="A5:H5"/>
    <mergeCell ref="B6:H6"/>
    <mergeCell ref="B7:H7"/>
    <mergeCell ref="B8:H8"/>
    <mergeCell ref="B9:H9"/>
    <mergeCell ref="B10:H10"/>
    <mergeCell ref="C11:F11"/>
    <mergeCell ref="C12:F12"/>
    <mergeCell ref="C14:F14"/>
    <mergeCell ref="B15:H15"/>
    <mergeCell ref="A18:H18"/>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A42:H42"/>
    <mergeCell ref="C43:G43"/>
    <mergeCell ref="A45:H45"/>
    <mergeCell ref="A46:H46"/>
    <mergeCell ref="A47:H47"/>
    <mergeCell ref="A48:H48"/>
    <mergeCell ref="A49:H49"/>
    <mergeCell ref="A50:H50"/>
    <mergeCell ref="A51:H51"/>
    <mergeCell ref="A52:H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6"/>
    <col collapsed="false" customWidth="true" hidden="false" outlineLevel="0" max="5" min="5" style="1" width="20"/>
    <col collapsed="false" customWidth="true" hidden="false" outlineLevel="0" max="6" min="6" style="1" width="4"/>
    <col collapsed="false" customWidth="true" hidden="false" outlineLevel="0" max="10" min="7" style="1" width="14"/>
  </cols>
  <sheetData>
    <row r="1" customFormat="false" ht="27.75" hidden="false" customHeight="true" outlineLevel="0" collapsed="false">
      <c r="A1" s="2" t="s">
        <v>89</v>
      </c>
      <c r="B1" s="2"/>
      <c r="C1" s="2"/>
      <c r="D1" s="2"/>
      <c r="E1" s="2"/>
      <c r="F1" s="2"/>
      <c r="G1" s="2"/>
      <c r="H1" s="2"/>
      <c r="I1" s="2"/>
      <c r="J1" s="2"/>
    </row>
    <row r="3" customFormat="false" ht="15" hidden="false" customHeight="true" outlineLevel="0" collapsed="false">
      <c r="A3" s="5" t="s">
        <v>90</v>
      </c>
      <c r="B3" s="5"/>
      <c r="C3" s="5"/>
      <c r="D3" s="5"/>
      <c r="E3" s="5"/>
      <c r="F3" s="5"/>
      <c r="G3" s="5"/>
      <c r="H3" s="5"/>
      <c r="I3" s="5"/>
      <c r="J3" s="5"/>
    </row>
    <row r="4" customFormat="false" ht="15" hidden="false" customHeight="true" outlineLevel="0" collapsed="false">
      <c r="A4" s="13"/>
      <c r="B4" s="13" t="s">
        <v>91</v>
      </c>
      <c r="C4" s="13" t="s">
        <v>92</v>
      </c>
      <c r="D4" s="13" t="s">
        <v>93</v>
      </c>
      <c r="E4" s="13" t="s">
        <v>94</v>
      </c>
    </row>
    <row r="5" customFormat="false" ht="25.5" hidden="false" customHeight="true" outlineLevel="0" collapsed="false">
      <c r="A5" s="14" t="s">
        <v>95</v>
      </c>
      <c r="B5" s="11" t="n">
        <v>38753000</v>
      </c>
      <c r="C5" s="11" t="n">
        <v>48900000</v>
      </c>
      <c r="D5" s="11" t="n">
        <v>54100000</v>
      </c>
      <c r="E5" s="11" t="n">
        <v>107300000</v>
      </c>
      <c r="G5" s="9" t="s">
        <v>96</v>
      </c>
      <c r="H5" s="9"/>
      <c r="I5" s="9"/>
      <c r="J5" s="9"/>
    </row>
    <row r="6" customFormat="false" ht="25.5" hidden="false" customHeight="true" outlineLevel="0" collapsed="false">
      <c r="A6" s="14" t="s">
        <v>97</v>
      </c>
      <c r="B6" s="18"/>
      <c r="C6" s="18"/>
      <c r="D6" s="11" t="n">
        <v>56200000</v>
      </c>
      <c r="E6" s="18"/>
      <c r="G6" s="9" t="s">
        <v>98</v>
      </c>
      <c r="H6" s="9"/>
      <c r="I6" s="9"/>
      <c r="J6" s="9"/>
    </row>
    <row r="7" customFormat="false" ht="25.5" hidden="false" customHeight="true" outlineLevel="0" collapsed="false">
      <c r="A7" s="14" t="s">
        <v>99</v>
      </c>
      <c r="B7" s="18"/>
      <c r="C7" s="18"/>
      <c r="D7" s="11" t="n">
        <v>21500000</v>
      </c>
      <c r="E7" s="18"/>
      <c r="G7" s="9" t="s">
        <v>100</v>
      </c>
      <c r="H7" s="9"/>
      <c r="I7" s="9"/>
      <c r="J7" s="9"/>
    </row>
    <row r="8" customFormat="false" ht="25.5" hidden="false" customHeight="true" outlineLevel="0" collapsed="false">
      <c r="A8" s="14" t="s">
        <v>101</v>
      </c>
      <c r="B8" s="18"/>
      <c r="C8" s="18"/>
      <c r="D8" s="11" t="n">
        <v>34600000</v>
      </c>
      <c r="E8" s="18"/>
      <c r="G8" s="9" t="s">
        <v>98</v>
      </c>
      <c r="H8" s="9"/>
      <c r="I8" s="9"/>
      <c r="J8" s="9"/>
    </row>
    <row r="10" customFormat="false" ht="15" hidden="false" customHeight="true" outlineLevel="0" collapsed="false">
      <c r="A10" s="5" t="s">
        <v>102</v>
      </c>
      <c r="B10" s="5"/>
      <c r="C10" s="5"/>
      <c r="D10" s="5"/>
      <c r="E10" s="5"/>
      <c r="F10" s="5"/>
      <c r="G10" s="5"/>
      <c r="H10" s="5"/>
      <c r="I10" s="5"/>
      <c r="J10" s="5"/>
    </row>
    <row r="11" customFormat="false" ht="18.75" hidden="false" customHeight="true" outlineLevel="0" collapsed="false">
      <c r="A11" s="14" t="s">
        <v>103</v>
      </c>
      <c r="B11" s="12" t="n">
        <v>50000000</v>
      </c>
      <c r="G11" s="9" t="s">
        <v>104</v>
      </c>
      <c r="H11" s="9"/>
      <c r="I11" s="9"/>
      <c r="J11" s="9"/>
    </row>
    <row r="12" customFormat="false" ht="15" hidden="false" customHeight="true" outlineLevel="0" collapsed="false">
      <c r="A12" s="14" t="s">
        <v>105</v>
      </c>
      <c r="B12" s="19" t="s">
        <v>106</v>
      </c>
      <c r="G12" s="9" t="s">
        <v>107</v>
      </c>
      <c r="H12" s="9"/>
      <c r="I12" s="9"/>
      <c r="J12" s="9"/>
    </row>
    <row r="13" customFormat="false" ht="18.75" hidden="false" customHeight="true" outlineLevel="0" collapsed="false">
      <c r="A13" s="14" t="s">
        <v>108</v>
      </c>
      <c r="B13" s="16" t="n">
        <v>0.11</v>
      </c>
      <c r="G13" s="9" t="s">
        <v>109</v>
      </c>
      <c r="H13" s="9"/>
      <c r="I13" s="9"/>
      <c r="J13" s="9"/>
    </row>
    <row r="14" customFormat="false" ht="18.75" hidden="false" customHeight="true" outlineLevel="0" collapsed="false">
      <c r="A14" s="14" t="s">
        <v>110</v>
      </c>
      <c r="B14" s="16" t="n">
        <v>0.03</v>
      </c>
      <c r="G14" s="9" t="s">
        <v>111</v>
      </c>
      <c r="H14" s="9"/>
      <c r="I14" s="9"/>
      <c r="J14" s="9"/>
    </row>
    <row r="15" customFormat="false" ht="15" hidden="false" customHeight="true" outlineLevel="0" collapsed="false">
      <c r="A15" s="20" t="s">
        <v>112</v>
      </c>
      <c r="B15" s="21" t="s">
        <v>113</v>
      </c>
      <c r="C15" s="21"/>
      <c r="D15" s="21"/>
      <c r="G15" s="9" t="s">
        <v>114</v>
      </c>
      <c r="H15" s="9"/>
      <c r="I15" s="9"/>
      <c r="J15" s="9"/>
    </row>
    <row r="17" customFormat="false" ht="15" hidden="false" customHeight="true" outlineLevel="0" collapsed="false">
      <c r="A17" s="5" t="s">
        <v>115</v>
      </c>
      <c r="B17" s="5"/>
      <c r="C17" s="5"/>
      <c r="D17" s="5"/>
      <c r="E17" s="5"/>
      <c r="F17" s="5"/>
      <c r="G17" s="5"/>
      <c r="H17" s="5"/>
      <c r="I17" s="5"/>
      <c r="J17" s="5"/>
    </row>
    <row r="18" customFormat="false" ht="15" hidden="false" customHeight="true" outlineLevel="0" collapsed="false">
      <c r="A18" s="13" t="s">
        <v>116</v>
      </c>
      <c r="B18" s="13" t="s">
        <v>117</v>
      </c>
      <c r="C18" s="13" t="s">
        <v>118</v>
      </c>
      <c r="D18" s="13" t="s">
        <v>119</v>
      </c>
      <c r="E18" s="13"/>
      <c r="F18" s="13"/>
      <c r="G18" s="13"/>
      <c r="H18" s="13"/>
    </row>
    <row r="19" customFormat="false" ht="25.5" hidden="false" customHeight="true" outlineLevel="0" collapsed="false">
      <c r="A19" s="14" t="s">
        <v>120</v>
      </c>
      <c r="B19" s="14" t="s">
        <v>121</v>
      </c>
      <c r="C19" s="18"/>
      <c r="D19" s="9" t="s">
        <v>122</v>
      </c>
      <c r="E19" s="9"/>
      <c r="F19" s="9"/>
      <c r="G19" s="9"/>
      <c r="H19" s="9"/>
    </row>
    <row r="20" customFormat="false" ht="25.5" hidden="false" customHeight="true" outlineLevel="0" collapsed="false">
      <c r="A20" s="14" t="s">
        <v>123</v>
      </c>
      <c r="B20" s="14" t="s">
        <v>124</v>
      </c>
      <c r="C20" s="11" t="n">
        <v>50000000</v>
      </c>
      <c r="D20" s="9" t="s">
        <v>125</v>
      </c>
      <c r="E20" s="9"/>
      <c r="F20" s="9"/>
      <c r="G20" s="9"/>
      <c r="H20" s="9"/>
    </row>
    <row r="21" customFormat="false" ht="25.5" hidden="false" customHeight="true" outlineLevel="0" collapsed="false">
      <c r="A21" s="14" t="s">
        <v>126</v>
      </c>
      <c r="B21" s="14" t="s">
        <v>127</v>
      </c>
      <c r="C21" s="18"/>
      <c r="D21" s="9" t="s">
        <v>128</v>
      </c>
      <c r="E21" s="9"/>
      <c r="F21" s="9"/>
      <c r="G21" s="9"/>
      <c r="H21" s="9"/>
    </row>
    <row r="22" customFormat="false" ht="25.5" hidden="false" customHeight="true" outlineLevel="0" collapsed="false">
      <c r="A22" s="14" t="s">
        <v>129</v>
      </c>
      <c r="B22" s="14" t="s">
        <v>130</v>
      </c>
      <c r="C22" s="11" t="n">
        <v>69000000</v>
      </c>
      <c r="D22" s="9" t="s">
        <v>131</v>
      </c>
      <c r="E22" s="9"/>
      <c r="F22" s="9"/>
      <c r="G22" s="9"/>
      <c r="H22" s="9"/>
    </row>
    <row r="24" customFormat="false" ht="15" hidden="false" customHeight="true" outlineLevel="0" collapsed="false">
      <c r="A24" s="5" t="s">
        <v>132</v>
      </c>
      <c r="B24" s="5"/>
      <c r="C24" s="5"/>
      <c r="D24" s="5"/>
      <c r="E24" s="5"/>
      <c r="F24" s="5"/>
      <c r="G24" s="5"/>
      <c r="H24" s="5"/>
      <c r="I24" s="5"/>
      <c r="J24" s="5"/>
    </row>
    <row r="25" customFormat="false" ht="15" hidden="false" customHeight="true" outlineLevel="0" collapsed="false">
      <c r="A25" s="13"/>
      <c r="B25" s="13" t="s">
        <v>133</v>
      </c>
      <c r="C25" s="13" t="s">
        <v>134</v>
      </c>
      <c r="D25" s="13" t="s">
        <v>135</v>
      </c>
      <c r="E25" s="13" t="s">
        <v>136</v>
      </c>
      <c r="F25" s="13"/>
      <c r="G25" s="13"/>
      <c r="H25" s="13"/>
      <c r="I25" s="13"/>
    </row>
    <row r="26" customFormat="false" ht="15" hidden="false" customHeight="true" outlineLevel="0" collapsed="false">
      <c r="A26" s="6" t="s">
        <v>137</v>
      </c>
      <c r="B26" s="11" t="n">
        <f aca="false">'Balance Sheet &amp; Runway'!$E$5</f>
        <v>107300000</v>
      </c>
    </row>
    <row r="27" customFormat="false" ht="27.75" hidden="false" customHeight="true" outlineLevel="0" collapsed="false">
      <c r="A27" s="14" t="s">
        <v>138</v>
      </c>
      <c r="B27" s="11" t="n">
        <f aca="false">-'Cover &amp; Assumptions'!$C$37</f>
        <v>-48000000</v>
      </c>
      <c r="C27" s="11" t="n">
        <f aca="false">-'Cover &amp; Assumptions'!$C$37*1.15</f>
        <v>-55200000</v>
      </c>
      <c r="D27" s="11" t="n">
        <f aca="false">-'Cover &amp; Assumptions'!$C$37*0.6</f>
        <v>-28800000</v>
      </c>
      <c r="E27" s="9" t="s">
        <v>139</v>
      </c>
      <c r="F27" s="9"/>
      <c r="G27" s="9"/>
      <c r="H27" s="9"/>
      <c r="I27" s="9"/>
    </row>
    <row r="28" customFormat="false" ht="18.75" hidden="false" customHeight="true" outlineLevel="0" collapsed="false">
      <c r="A28" s="14" t="s">
        <v>140</v>
      </c>
      <c r="B28" s="11" t="n">
        <f aca="false">-'Balance Sheet &amp; Runway'!$B$11*'Balance Sheet &amp; Runway'!$B$13</f>
        <v>-5500000</v>
      </c>
      <c r="C28" s="11" t="n">
        <f aca="false">-'Balance Sheet &amp; Runway'!$B$11*'Balance Sheet &amp; Runway'!$B$13</f>
        <v>-5500000</v>
      </c>
      <c r="D28" s="11" t="n">
        <f aca="false">-'Balance Sheet &amp; Runway'!$B$11*'Balance Sheet &amp; Runway'!$B$13</f>
        <v>-5500000</v>
      </c>
      <c r="E28" s="9" t="s">
        <v>141</v>
      </c>
      <c r="F28" s="9"/>
      <c r="G28" s="9"/>
      <c r="H28" s="9"/>
      <c r="I28" s="9"/>
    </row>
    <row r="29" customFormat="false" ht="15" hidden="false" customHeight="true" outlineLevel="0" collapsed="false">
      <c r="A29" s="14" t="s">
        <v>142</v>
      </c>
      <c r="B29" s="11" t="n">
        <f aca="false">0</f>
        <v>0</v>
      </c>
      <c r="C29" s="11" t="n">
        <f aca="false">-'Cover &amp; Assumptions'!$C$34</f>
        <v>-22500000</v>
      </c>
      <c r="D29" s="11" t="n">
        <f aca="false">0</f>
        <v>0</v>
      </c>
      <c r="E29" s="9" t="s">
        <v>143</v>
      </c>
      <c r="F29" s="9"/>
      <c r="G29" s="9"/>
      <c r="H29" s="9"/>
      <c r="I29" s="9"/>
    </row>
    <row r="30" customFormat="false" ht="15" hidden="false" customHeight="true" outlineLevel="0" collapsed="false">
      <c r="A30" s="6" t="s">
        <v>144</v>
      </c>
      <c r="B30" s="22" t="n">
        <f aca="false">B26+B27+B28+B29</f>
        <v>53800000</v>
      </c>
      <c r="C30" s="22" t="n">
        <f aca="false">B30+C27+C28+C29</f>
        <v>-29400000</v>
      </c>
      <c r="D30" s="22" t="n">
        <f aca="false">C30+D27+D28+D29</f>
        <v>-63700000</v>
      </c>
    </row>
    <row r="32" customFormat="false" ht="84.75" hidden="false" customHeight="true" outlineLevel="0" collapsed="false">
      <c r="A32" s="9" t="s">
        <v>145</v>
      </c>
      <c r="B32" s="9"/>
      <c r="C32" s="9"/>
      <c r="D32" s="9"/>
      <c r="E32" s="9"/>
      <c r="F32" s="9"/>
      <c r="G32" s="9"/>
      <c r="H32" s="9"/>
      <c r="I32" s="9"/>
    </row>
    <row r="34" customFormat="false" ht="15" hidden="false" customHeight="true" outlineLevel="0" collapsed="false">
      <c r="A34" s="5" t="s">
        <v>146</v>
      </c>
      <c r="B34" s="5"/>
      <c r="C34" s="5"/>
      <c r="D34" s="5"/>
      <c r="E34" s="5"/>
      <c r="F34" s="5"/>
      <c r="G34" s="5"/>
      <c r="H34" s="5"/>
      <c r="I34" s="5"/>
      <c r="J34" s="5"/>
    </row>
    <row r="35" customFormat="false" ht="25.5" hidden="false" customHeight="true" outlineLevel="0" collapsed="false">
      <c r="A35" s="20" t="s">
        <v>147</v>
      </c>
      <c r="B35" s="10" t="n">
        <v>1372278</v>
      </c>
      <c r="D35" s="9" t="s">
        <v>148</v>
      </c>
      <c r="E35" s="9"/>
      <c r="F35" s="9"/>
      <c r="G35" s="9"/>
      <c r="H35" s="9"/>
      <c r="I35" s="9"/>
    </row>
    <row r="36" customFormat="false" ht="39.75" hidden="false" customHeight="true" outlineLevel="0" collapsed="false">
      <c r="A36" s="20" t="s">
        <v>149</v>
      </c>
      <c r="B36" s="10" t="n">
        <v>1380000</v>
      </c>
      <c r="D36" s="9" t="s">
        <v>150</v>
      </c>
      <c r="E36" s="9"/>
      <c r="F36" s="9"/>
      <c r="G36" s="9"/>
      <c r="H36" s="9"/>
      <c r="I36" s="9"/>
    </row>
    <row r="37" customFormat="false" ht="15" hidden="false" customHeight="true" outlineLevel="0" collapsed="false">
      <c r="A37" s="6" t="s">
        <v>151</v>
      </c>
      <c r="B37" s="23" t="n">
        <f aca="false">B35+B36</f>
        <v>2752278</v>
      </c>
    </row>
    <row r="38" customFormat="false" ht="30" hidden="false" customHeight="true" outlineLevel="0" collapsed="false">
      <c r="A38" s="20" t="s">
        <v>152</v>
      </c>
      <c r="B38" s="10" t="n">
        <v>150000</v>
      </c>
      <c r="D38" s="9" t="s">
        <v>153</v>
      </c>
      <c r="E38" s="9"/>
      <c r="F38" s="9"/>
      <c r="G38" s="9"/>
      <c r="H38" s="9"/>
      <c r="I38" s="9"/>
    </row>
    <row r="39" customFormat="false" ht="39.75" hidden="false" customHeight="true" outlineLevel="0" collapsed="false">
      <c r="A39" s="20" t="s">
        <v>154</v>
      </c>
      <c r="B39" s="10" t="n">
        <v>60000</v>
      </c>
      <c r="D39" s="9" t="s">
        <v>155</v>
      </c>
      <c r="E39" s="9"/>
      <c r="F39" s="9"/>
      <c r="G39" s="9"/>
      <c r="H39" s="9"/>
      <c r="I39" s="9"/>
    </row>
    <row r="40" customFormat="false" ht="15" hidden="false" customHeight="true" outlineLevel="0" collapsed="false">
      <c r="A40" s="6" t="s">
        <v>156</v>
      </c>
      <c r="B40" s="24" t="n">
        <f aca="false">B37+B38+B39</f>
        <v>2962278</v>
      </c>
    </row>
  </sheetData>
  <mergeCells count="28">
    <mergeCell ref="A1:J1"/>
    <mergeCell ref="A3:J3"/>
    <mergeCell ref="G5:J5"/>
    <mergeCell ref="G6:J6"/>
    <mergeCell ref="G7:J7"/>
    <mergeCell ref="G8:J8"/>
    <mergeCell ref="A10:J10"/>
    <mergeCell ref="G11:J11"/>
    <mergeCell ref="G12:J12"/>
    <mergeCell ref="G13:J13"/>
    <mergeCell ref="G14:J14"/>
    <mergeCell ref="B15:D15"/>
    <mergeCell ref="G15:J15"/>
    <mergeCell ref="A17:J17"/>
    <mergeCell ref="D19:H19"/>
    <mergeCell ref="D20:H20"/>
    <mergeCell ref="D21:H21"/>
    <mergeCell ref="D22:H22"/>
    <mergeCell ref="A24:J24"/>
    <mergeCell ref="E27:I27"/>
    <mergeCell ref="E28:I28"/>
    <mergeCell ref="E29:I29"/>
    <mergeCell ref="A32:I32"/>
    <mergeCell ref="A34:J34"/>
    <mergeCell ref="D35:I35"/>
    <mergeCell ref="D36:I36"/>
    <mergeCell ref="D38:I38"/>
    <mergeCell ref="D39:I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4"/>
    <col collapsed="false" customWidth="true" hidden="false" outlineLevel="0" max="17" min="3" style="1" width="11"/>
  </cols>
  <sheetData>
    <row r="1" customFormat="false" ht="27.75" hidden="false" customHeight="true" outlineLevel="0" collapsed="false">
      <c r="A1" s="2" t="s">
        <v>157</v>
      </c>
      <c r="B1" s="2"/>
      <c r="C1" s="2"/>
      <c r="D1" s="2"/>
      <c r="E1" s="2"/>
      <c r="F1" s="2"/>
      <c r="G1" s="2"/>
      <c r="H1" s="2"/>
      <c r="I1" s="2"/>
      <c r="J1" s="2"/>
      <c r="K1" s="2"/>
      <c r="L1" s="2"/>
      <c r="M1" s="2"/>
      <c r="N1" s="2"/>
      <c r="O1" s="2"/>
      <c r="P1" s="2"/>
      <c r="Q1" s="2"/>
    </row>
    <row r="2" customFormat="false" ht="27.75" hidden="false" customHeight="true" outlineLevel="0" collapsed="false">
      <c r="A2" s="9" t="s">
        <v>158</v>
      </c>
      <c r="B2" s="9"/>
      <c r="C2" s="9"/>
      <c r="D2" s="9"/>
      <c r="E2" s="9"/>
      <c r="F2" s="9"/>
      <c r="G2" s="9"/>
      <c r="H2" s="9"/>
      <c r="I2" s="9"/>
      <c r="J2" s="9"/>
      <c r="K2" s="9"/>
      <c r="L2" s="9"/>
      <c r="M2" s="9"/>
      <c r="N2" s="9"/>
      <c r="O2" s="9"/>
      <c r="P2" s="9"/>
      <c r="Q2" s="9"/>
    </row>
    <row r="4" customFormat="false" ht="15" hidden="false" customHeight="true" outlineLevel="0" collapsed="false">
      <c r="A4" s="5" t="s">
        <v>159</v>
      </c>
      <c r="B4" s="5"/>
      <c r="C4" s="5"/>
      <c r="D4" s="5"/>
      <c r="E4" s="5"/>
      <c r="F4" s="5"/>
      <c r="G4" s="5"/>
      <c r="H4" s="5"/>
      <c r="I4" s="5"/>
      <c r="J4" s="5"/>
      <c r="K4" s="5"/>
      <c r="L4" s="5"/>
      <c r="M4" s="5"/>
      <c r="N4" s="5"/>
      <c r="O4" s="5"/>
      <c r="P4" s="5"/>
      <c r="Q4" s="5"/>
    </row>
    <row r="5" customFormat="false" ht="15" hidden="false" customHeight="true" outlineLevel="0" collapsed="false">
      <c r="A5" s="14" t="s">
        <v>160</v>
      </c>
      <c r="C5" s="25" t="n">
        <f aca="false">'Cover &amp; Assumptions'!$B$43</f>
        <v>2</v>
      </c>
    </row>
    <row r="6" customFormat="false" ht="15" hidden="false" customHeight="true" outlineLevel="0" collapsed="false">
      <c r="A6" s="14" t="s">
        <v>161</v>
      </c>
      <c r="C6" s="26" t="n">
        <f aca="false">'Cover &amp; Assumptions'!$C$24/INDEX('Cover &amp; Assumptions'!$B$23:$D$23,'Cover &amp; Assumptions'!$B$43)</f>
        <v>18</v>
      </c>
    </row>
    <row r="7" customFormat="false" ht="15" hidden="false" customHeight="true" outlineLevel="0" collapsed="false">
      <c r="A7" s="14" t="s">
        <v>162</v>
      </c>
      <c r="C7" s="27" t="n">
        <f aca="false">'Cover &amp; Assumptions'!$C$26/INDEX('Cover &amp; Assumptions'!$B$25:$D$25,'Cover &amp; Assumptions'!$B$43)</f>
        <v>9.375</v>
      </c>
    </row>
    <row r="8" customFormat="false" ht="15" hidden="false" customHeight="true" outlineLevel="0" collapsed="false">
      <c r="A8" s="14" t="s">
        <v>163</v>
      </c>
      <c r="C8" s="28" t="n">
        <f aca="false">INDEX('Cover &amp; Assumptions'!$B$27:$D$27,'Cover &amp; Assumptions'!$B$43)</f>
        <v>220</v>
      </c>
    </row>
    <row r="9" customFormat="false" ht="15" hidden="false" customHeight="true" outlineLevel="0" collapsed="false">
      <c r="A9" s="14" t="s">
        <v>164</v>
      </c>
      <c r="C9" s="28" t="n">
        <f aca="false">C8+(C6+C7)*5</f>
        <v>356.875</v>
      </c>
    </row>
    <row r="10" customFormat="false" ht="15" hidden="false" customHeight="true" outlineLevel="0" collapsed="false">
      <c r="A10" s="14" t="s">
        <v>165</v>
      </c>
      <c r="C10" s="29" t="n">
        <f aca="false">INDEX('Cover &amp; Assumptions'!$B$28:$D$28,'Cover &amp; Assumptions'!$B$43)</f>
        <v>0.7</v>
      </c>
    </row>
    <row r="11" customFormat="false" ht="15" hidden="false" customHeight="true" outlineLevel="0" collapsed="false">
      <c r="A11" s="14" t="s">
        <v>166</v>
      </c>
      <c r="C11" s="28" t="n">
        <f aca="false">C9*C10</f>
        <v>249.8125</v>
      </c>
    </row>
    <row r="13" customFormat="false" ht="15" hidden="false" customHeight="true" outlineLevel="0" collapsed="false">
      <c r="A13" s="6"/>
      <c r="C13" s="30" t="n">
        <v>2026</v>
      </c>
      <c r="D13" s="30" t="n">
        <v>2027</v>
      </c>
      <c r="E13" s="30" t="n">
        <v>2028</v>
      </c>
      <c r="F13" s="30" t="n">
        <v>2029</v>
      </c>
      <c r="G13" s="30" t="n">
        <v>2030</v>
      </c>
      <c r="H13" s="30" t="n">
        <v>2031</v>
      </c>
      <c r="I13" s="30" t="n">
        <v>2032</v>
      </c>
      <c r="J13" s="30" t="n">
        <v>2033</v>
      </c>
      <c r="K13" s="30" t="n">
        <v>2034</v>
      </c>
      <c r="L13" s="30" t="n">
        <v>2035</v>
      </c>
      <c r="M13" s="30" t="n">
        <v>2036</v>
      </c>
      <c r="N13" s="30" t="n">
        <v>2037</v>
      </c>
      <c r="O13" s="30" t="n">
        <v>2038</v>
      </c>
      <c r="P13" s="30" t="n">
        <v>2039</v>
      </c>
      <c r="Q13" s="30" t="n">
        <v>2040</v>
      </c>
    </row>
    <row r="14" customFormat="false" ht="18.75" hidden="false" customHeight="true" outlineLevel="0" collapsed="false">
      <c r="A14" s="6" t="s">
        <v>167</v>
      </c>
      <c r="C14" s="31" t="s">
        <v>168</v>
      </c>
      <c r="D14" s="31" t="s">
        <v>169</v>
      </c>
      <c r="E14" s="31"/>
      <c r="F14" s="31"/>
      <c r="G14" s="31"/>
      <c r="H14" s="31"/>
      <c r="I14" s="31"/>
      <c r="J14" s="31"/>
      <c r="K14" s="31"/>
      <c r="L14" s="31"/>
      <c r="M14" s="31"/>
      <c r="N14" s="31" t="s">
        <v>170</v>
      </c>
      <c r="O14" s="31"/>
      <c r="P14" s="31"/>
      <c r="Q14" s="31"/>
    </row>
    <row r="15" customFormat="false" ht="15" hidden="false" customHeight="true" outlineLevel="0" collapsed="false">
      <c r="A15" s="14" t="s">
        <v>171</v>
      </c>
      <c r="C15" s="32" t="n">
        <v>0</v>
      </c>
      <c r="D15" s="32" t="n">
        <v>0.15</v>
      </c>
      <c r="E15" s="32" t="n">
        <v>0.38</v>
      </c>
      <c r="F15" s="32" t="n">
        <v>0.58</v>
      </c>
      <c r="G15" s="32" t="n">
        <v>0.76</v>
      </c>
      <c r="H15" s="32" t="n">
        <v>0.9</v>
      </c>
      <c r="I15" s="32" t="n">
        <v>0.97</v>
      </c>
      <c r="J15" s="32" t="n">
        <v>1</v>
      </c>
      <c r="K15" s="32" t="n">
        <v>1</v>
      </c>
      <c r="L15" s="32" t="n">
        <v>1</v>
      </c>
      <c r="M15" s="32" t="n">
        <v>1</v>
      </c>
      <c r="N15" s="32" t="n">
        <v>0.85</v>
      </c>
      <c r="O15" s="32" t="n">
        <v>0.72</v>
      </c>
      <c r="P15" s="32" t="n">
        <v>0.65</v>
      </c>
      <c r="Q15" s="32" t="n">
        <v>0.6</v>
      </c>
    </row>
    <row r="16" customFormat="false" ht="15" hidden="false" customHeight="true" outlineLevel="0" collapsed="false">
      <c r="A16" s="14" t="s">
        <v>172</v>
      </c>
      <c r="C16" s="25" t="n">
        <f aca="false">ROUND($C$11*C15,0)</f>
        <v>0</v>
      </c>
      <c r="D16" s="25" t="n">
        <f aca="false">ROUND($C$11*D15,0)</f>
        <v>37</v>
      </c>
      <c r="E16" s="25" t="n">
        <f aca="false">ROUND($C$11*E15,0)</f>
        <v>95</v>
      </c>
      <c r="F16" s="25" t="n">
        <f aca="false">ROUND($C$11*F15,0)</f>
        <v>145</v>
      </c>
      <c r="G16" s="25" t="n">
        <f aca="false">ROUND($C$11*G15,0)</f>
        <v>190</v>
      </c>
      <c r="H16" s="25" t="n">
        <f aca="false">ROUND($C$11*H15,0)</f>
        <v>225</v>
      </c>
      <c r="I16" s="25" t="n">
        <f aca="false">ROUND($C$11*I15,0)</f>
        <v>242</v>
      </c>
      <c r="J16" s="25" t="n">
        <f aca="false">ROUND($C$11*J15,0)</f>
        <v>250</v>
      </c>
      <c r="K16" s="25" t="n">
        <f aca="false">ROUND($C$11*K15,0)</f>
        <v>250</v>
      </c>
      <c r="L16" s="25" t="n">
        <f aca="false">ROUND($C$11*L15,0)</f>
        <v>250</v>
      </c>
      <c r="M16" s="25" t="n">
        <f aca="false">ROUND($C$11*M15,0)</f>
        <v>250</v>
      </c>
      <c r="N16" s="25" t="n">
        <f aca="false">ROUND($C$11*N15,0)</f>
        <v>212</v>
      </c>
      <c r="O16" s="25" t="n">
        <f aca="false">ROUND($C$11*O15,0)</f>
        <v>180</v>
      </c>
      <c r="P16" s="25" t="n">
        <f aca="false">ROUND($C$11*P15,0)</f>
        <v>162</v>
      </c>
      <c r="Q16" s="25" t="n">
        <f aca="false">ROUND($C$11*Q15,0)</f>
        <v>150</v>
      </c>
    </row>
    <row r="18" customFormat="false" ht="15" hidden="false" customHeight="true" outlineLevel="0" collapsed="false">
      <c r="A18" s="5" t="s">
        <v>173</v>
      </c>
      <c r="B18" s="5"/>
      <c r="C18" s="5"/>
      <c r="D18" s="5"/>
      <c r="E18" s="5"/>
      <c r="F18" s="5"/>
      <c r="G18" s="5"/>
      <c r="H18" s="5"/>
      <c r="I18" s="5"/>
      <c r="J18" s="5"/>
      <c r="K18" s="5"/>
      <c r="L18" s="5"/>
      <c r="M18" s="5"/>
      <c r="N18" s="5"/>
      <c r="O18" s="5"/>
      <c r="P18" s="5"/>
      <c r="Q18" s="5"/>
    </row>
    <row r="19" customFormat="false" ht="15" hidden="false" customHeight="true" outlineLevel="0" collapsed="false">
      <c r="A19" s="14" t="s">
        <v>174</v>
      </c>
      <c r="C19" s="11" t="n">
        <f aca="false">(INDEX('Cover &amp; Assumptions'!$B$29:$D$29,'Cover &amp; Assumptions'!$B$43)*0.55+INDEX('Cover &amp; Assumptions'!$B$29:$D$29,'Cover &amp; Assumptions'!$B$43)*INDEX('Cover &amp; Assumptions'!$B$30:$D$30,'Cover &amp; Assumptions'!$B$43)*0.45)</f>
        <v>421250</v>
      </c>
      <c r="D19" s="11" t="n">
        <f aca="false">C19*(1+INDEX('Cover &amp; Assumptions'!$B$31:$D$31,'Cover &amp; Assumptions'!$B$43))</f>
        <v>429675</v>
      </c>
      <c r="E19" s="11" t="n">
        <f aca="false">D19*(1+INDEX('Cover &amp; Assumptions'!$B$31:$D$31,'Cover &amp; Assumptions'!$B$43))</f>
        <v>438268.5</v>
      </c>
      <c r="F19" s="11" t="n">
        <f aca="false">E19*(1+INDEX('Cover &amp; Assumptions'!$B$31:$D$31,'Cover &amp; Assumptions'!$B$43))</f>
        <v>447033.87</v>
      </c>
      <c r="G19" s="11" t="n">
        <f aca="false">F19*(1+INDEX('Cover &amp; Assumptions'!$B$31:$D$31,'Cover &amp; Assumptions'!$B$43))</f>
        <v>455974.5474</v>
      </c>
      <c r="H19" s="11" t="n">
        <f aca="false">G19*(1+INDEX('Cover &amp; Assumptions'!$B$31:$D$31,'Cover &amp; Assumptions'!$B$43))</f>
        <v>465094.038348</v>
      </c>
      <c r="I19" s="11" t="n">
        <f aca="false">H19*(1+INDEX('Cover &amp; Assumptions'!$B$31:$D$31,'Cover &amp; Assumptions'!$B$43))</f>
        <v>474395.91911496</v>
      </c>
      <c r="J19" s="11" t="n">
        <f aca="false">I19*(1+INDEX('Cover &amp; Assumptions'!$B$31:$D$31,'Cover &amp; Assumptions'!$B$43))</f>
        <v>483883.837497259</v>
      </c>
      <c r="K19" s="11" t="n">
        <f aca="false">J19*(1+INDEX('Cover &amp; Assumptions'!$B$31:$D$31,'Cover &amp; Assumptions'!$B$43))</f>
        <v>493561.514247204</v>
      </c>
      <c r="L19" s="11" t="n">
        <f aca="false">K19*(1+INDEX('Cover &amp; Assumptions'!$B$31:$D$31,'Cover &amp; Assumptions'!$B$43))</f>
        <v>503432.744532149</v>
      </c>
      <c r="M19" s="11" t="n">
        <f aca="false">L19*(1+INDEX('Cover &amp; Assumptions'!$B$31:$D$31,'Cover &amp; Assumptions'!$B$43))</f>
        <v>513501.399422792</v>
      </c>
      <c r="N19" s="11" t="n">
        <f aca="false">M19*(1+INDEX('Cover &amp; Assumptions'!$B$31:$D$31,'Cover &amp; Assumptions'!$B$43))</f>
        <v>523771.427411247</v>
      </c>
      <c r="O19" s="11" t="n">
        <f aca="false">N19*(1+INDEX('Cover &amp; Assumptions'!$B$31:$D$31,'Cover &amp; Assumptions'!$B$43))</f>
        <v>534246.855959472</v>
      </c>
      <c r="P19" s="11" t="n">
        <f aca="false">O19*(1+INDEX('Cover &amp; Assumptions'!$B$31:$D$31,'Cover &amp; Assumptions'!$B$43))</f>
        <v>544931.793078662</v>
      </c>
      <c r="Q19" s="11" t="n">
        <f aca="false">P19*(1+INDEX('Cover &amp; Assumptions'!$B$31:$D$31,'Cover &amp; Assumptions'!$B$43))</f>
        <v>555830.428940235</v>
      </c>
    </row>
    <row r="20" customFormat="false" ht="15" hidden="false" customHeight="true" outlineLevel="0" collapsed="false">
      <c r="A20" s="6" t="s">
        <v>175</v>
      </c>
      <c r="C20" s="33" t="n">
        <f aca="false">C16*C19</f>
        <v>0</v>
      </c>
      <c r="D20" s="33" t="n">
        <f aca="false">D16*D19</f>
        <v>15897975</v>
      </c>
      <c r="E20" s="33" t="n">
        <f aca="false">E16*E19</f>
        <v>41635507.5</v>
      </c>
      <c r="F20" s="33" t="n">
        <f aca="false">F16*F19</f>
        <v>64819911.15</v>
      </c>
      <c r="G20" s="33" t="n">
        <f aca="false">G16*G19</f>
        <v>86635164.006</v>
      </c>
      <c r="H20" s="33" t="n">
        <f aca="false">H16*H19</f>
        <v>104646158.6283</v>
      </c>
      <c r="I20" s="33" t="n">
        <f aca="false">I16*I19</f>
        <v>114803812.42582</v>
      </c>
      <c r="J20" s="33" t="n">
        <f aca="false">J16*J19</f>
        <v>120970959.374315</v>
      </c>
      <c r="K20" s="33" t="n">
        <f aca="false">K16*K19</f>
        <v>123390378.561801</v>
      </c>
      <c r="L20" s="33" t="n">
        <f aca="false">L16*L19</f>
        <v>125858186.133037</v>
      </c>
      <c r="M20" s="33" t="n">
        <f aca="false">M16*M19</f>
        <v>128375349.855698</v>
      </c>
      <c r="N20" s="33" t="n">
        <f aca="false">N16*N19</f>
        <v>111039542.611184</v>
      </c>
      <c r="O20" s="33" t="n">
        <f aca="false">O16*O19</f>
        <v>96164434.072705</v>
      </c>
      <c r="P20" s="33" t="n">
        <f aca="false">P16*P19</f>
        <v>88278950.4787432</v>
      </c>
      <c r="Q20" s="33" t="n">
        <f aca="false">Q16*Q19</f>
        <v>83374564.3410353</v>
      </c>
    </row>
    <row r="22" customFormat="false" ht="15" hidden="false" customHeight="true" outlineLevel="0" collapsed="false">
      <c r="A22" s="5" t="s">
        <v>176</v>
      </c>
      <c r="B22" s="5"/>
      <c r="C22" s="5"/>
      <c r="D22" s="5"/>
      <c r="E22" s="5"/>
      <c r="F22" s="5"/>
      <c r="G22" s="5"/>
      <c r="H22" s="5"/>
      <c r="I22" s="5"/>
      <c r="J22" s="5"/>
      <c r="K22" s="5"/>
      <c r="L22" s="5"/>
      <c r="M22" s="5"/>
      <c r="N22" s="5"/>
      <c r="O22" s="5"/>
      <c r="P22" s="5"/>
      <c r="Q22" s="5"/>
    </row>
    <row r="23" customFormat="false" ht="15" hidden="false" customHeight="true" outlineLevel="0" collapsed="false">
      <c r="A23" s="14" t="s">
        <v>177</v>
      </c>
      <c r="C23" s="11" t="n">
        <f aca="false">-C20*INDEX('Cover &amp; Assumptions'!$B$32:$D$32,'Cover &amp; Assumptions'!$B$43)</f>
        <v>-0</v>
      </c>
      <c r="D23" s="11" t="n">
        <f aca="false">-D20*INDEX('Cover &amp; Assumptions'!$B$32:$D$32,'Cover &amp; Assumptions'!$B$43)</f>
        <v>-2861635.5</v>
      </c>
      <c r="E23" s="11" t="n">
        <f aca="false">-E20*INDEX('Cover &amp; Assumptions'!$B$32:$D$32,'Cover &amp; Assumptions'!$B$43)</f>
        <v>-7494391.35</v>
      </c>
      <c r="F23" s="11" t="n">
        <f aca="false">-F20*INDEX('Cover &amp; Assumptions'!$B$32:$D$32,'Cover &amp; Assumptions'!$B$43)</f>
        <v>-11667584.007</v>
      </c>
      <c r="G23" s="11" t="n">
        <f aca="false">-G20*INDEX('Cover &amp; Assumptions'!$B$32:$D$32,'Cover &amp; Assumptions'!$B$43)</f>
        <v>-15594329.52108</v>
      </c>
      <c r="H23" s="11" t="n">
        <f aca="false">-H20*INDEX('Cover &amp; Assumptions'!$B$32:$D$32,'Cover &amp; Assumptions'!$B$43)</f>
        <v>-18836308.553094</v>
      </c>
      <c r="I23" s="11" t="n">
        <f aca="false">-I20*INDEX('Cover &amp; Assumptions'!$B$32:$D$32,'Cover &amp; Assumptions'!$B$43)</f>
        <v>-20664686.2366477</v>
      </c>
      <c r="J23" s="11" t="n">
        <f aca="false">-J20*INDEX('Cover &amp; Assumptions'!$B$32:$D$32,'Cover &amp; Assumptions'!$B$43)</f>
        <v>-21774772.6873767</v>
      </c>
      <c r="K23" s="11" t="n">
        <f aca="false">-K20*INDEX('Cover &amp; Assumptions'!$B$32:$D$32,'Cover &amp; Assumptions'!$B$43)</f>
        <v>-22210268.1411242</v>
      </c>
      <c r="L23" s="11" t="n">
        <f aca="false">-L20*INDEX('Cover &amp; Assumptions'!$B$32:$D$32,'Cover &amp; Assumptions'!$B$43)</f>
        <v>-22654473.5039467</v>
      </c>
      <c r="M23" s="11" t="n">
        <f aca="false">-M20*INDEX('Cover &amp; Assumptions'!$B$32:$D$32,'Cover &amp; Assumptions'!$B$43)</f>
        <v>-23107562.9740256</v>
      </c>
      <c r="N23" s="11" t="n">
        <f aca="false">-N20*INDEX('Cover &amp; Assumptions'!$B$32:$D$32,'Cover &amp; Assumptions'!$B$43)</f>
        <v>-19987117.6700132</v>
      </c>
      <c r="O23" s="11" t="n">
        <f aca="false">-O20*INDEX('Cover &amp; Assumptions'!$B$32:$D$32,'Cover &amp; Assumptions'!$B$43)</f>
        <v>-17309598.1330869</v>
      </c>
      <c r="P23" s="11" t="n">
        <f aca="false">-P20*INDEX('Cover &amp; Assumptions'!$B$32:$D$32,'Cover &amp; Assumptions'!$B$43)</f>
        <v>-15890211.0861738</v>
      </c>
      <c r="Q23" s="11" t="n">
        <f aca="false">-Q20*INDEX('Cover &amp; Assumptions'!$B$32:$D$32,'Cover &amp; Assumptions'!$B$43)</f>
        <v>-15007421.5813863</v>
      </c>
    </row>
    <row r="24" customFormat="false" ht="15" hidden="false" customHeight="true" outlineLevel="0" collapsed="false">
      <c r="A24" s="14" t="s">
        <v>178</v>
      </c>
      <c r="C24" s="33" t="n">
        <f aca="false">C20+C23</f>
        <v>0</v>
      </c>
      <c r="D24" s="33" t="n">
        <f aca="false">D20+D23</f>
        <v>13036339.5</v>
      </c>
      <c r="E24" s="33" t="n">
        <f aca="false">E20+E23</f>
        <v>34141116.15</v>
      </c>
      <c r="F24" s="33" t="n">
        <f aca="false">F20+F23</f>
        <v>53152327.143</v>
      </c>
      <c r="G24" s="33" t="n">
        <f aca="false">G20+G23</f>
        <v>71040834.48492</v>
      </c>
      <c r="H24" s="33" t="n">
        <f aca="false">H20+H23</f>
        <v>85809850.075206</v>
      </c>
      <c r="I24" s="33" t="n">
        <f aca="false">I20+I23</f>
        <v>94139126.1891727</v>
      </c>
      <c r="J24" s="33" t="n">
        <f aca="false">J20+J23</f>
        <v>99196186.6869381</v>
      </c>
      <c r="K24" s="33" t="n">
        <f aca="false">K20+K23</f>
        <v>101180110.420677</v>
      </c>
      <c r="L24" s="33" t="n">
        <f aca="false">L20+L23</f>
        <v>103203712.62909</v>
      </c>
      <c r="M24" s="33" t="n">
        <f aca="false">M20+M23</f>
        <v>105267786.881672</v>
      </c>
      <c r="N24" s="33" t="n">
        <f aca="false">N20+N23</f>
        <v>91052424.9411712</v>
      </c>
      <c r="O24" s="33" t="n">
        <f aca="false">O20+O23</f>
        <v>78854835.9396181</v>
      </c>
      <c r="P24" s="33" t="n">
        <f aca="false">P20+P23</f>
        <v>72388739.3925694</v>
      </c>
      <c r="Q24" s="33" t="n">
        <f aca="false">Q20+Q23</f>
        <v>68367142.7596489</v>
      </c>
    </row>
    <row r="25" customFormat="false" ht="15" hidden="false" customHeight="true" outlineLevel="0" collapsed="false">
      <c r="A25" s="14" t="s">
        <v>179</v>
      </c>
      <c r="C25" s="11" t="n">
        <f aca="false">-C20*INDEX('Cover &amp; Assumptions'!$B$33:$D$33,'Cover &amp; Assumptions'!$B$43)</f>
        <v>-0</v>
      </c>
      <c r="D25" s="11" t="n">
        <f aca="false">-D20*INDEX('Cover &amp; Assumptions'!$B$33:$D$33,'Cover &amp; Assumptions'!$B$43)</f>
        <v>-1589797.5</v>
      </c>
      <c r="E25" s="11" t="n">
        <f aca="false">-E20*INDEX('Cover &amp; Assumptions'!$B$33:$D$33,'Cover &amp; Assumptions'!$B$43)</f>
        <v>-4163550.75</v>
      </c>
      <c r="F25" s="11" t="n">
        <f aca="false">-F20*INDEX('Cover &amp; Assumptions'!$B$33:$D$33,'Cover &amp; Assumptions'!$B$43)</f>
        <v>-6481991.115</v>
      </c>
      <c r="G25" s="11" t="n">
        <f aca="false">-G20*INDEX('Cover &amp; Assumptions'!$B$33:$D$33,'Cover &amp; Assumptions'!$B$43)</f>
        <v>-8663516.4006</v>
      </c>
      <c r="H25" s="11" t="n">
        <f aca="false">-H20*INDEX('Cover &amp; Assumptions'!$B$33:$D$33,'Cover &amp; Assumptions'!$B$43)</f>
        <v>-10464615.86283</v>
      </c>
      <c r="I25" s="11" t="n">
        <f aca="false">-I20*INDEX('Cover &amp; Assumptions'!$B$33:$D$33,'Cover &amp; Assumptions'!$B$43)</f>
        <v>-11480381.242582</v>
      </c>
      <c r="J25" s="11" t="n">
        <f aca="false">-J20*INDEX('Cover &amp; Assumptions'!$B$33:$D$33,'Cover &amp; Assumptions'!$B$43)</f>
        <v>-12097095.9374315</v>
      </c>
      <c r="K25" s="11" t="n">
        <f aca="false">-K20*INDEX('Cover &amp; Assumptions'!$B$33:$D$33,'Cover &amp; Assumptions'!$B$43)</f>
        <v>-12339037.8561801</v>
      </c>
      <c r="L25" s="11" t="n">
        <f aca="false">-L20*INDEX('Cover &amp; Assumptions'!$B$33:$D$33,'Cover &amp; Assumptions'!$B$43)</f>
        <v>-12585818.6133037</v>
      </c>
      <c r="M25" s="11" t="n">
        <f aca="false">-M20*INDEX('Cover &amp; Assumptions'!$B$33:$D$33,'Cover &amp; Assumptions'!$B$43)</f>
        <v>-12837534.9855698</v>
      </c>
      <c r="N25" s="11" t="n">
        <f aca="false">-N20*INDEX('Cover &amp; Assumptions'!$B$33:$D$33,'Cover &amp; Assumptions'!$B$43)</f>
        <v>-11103954.2611184</v>
      </c>
      <c r="O25" s="11" t="n">
        <f aca="false">-O20*INDEX('Cover &amp; Assumptions'!$B$33:$D$33,'Cover &amp; Assumptions'!$B$43)</f>
        <v>-9616443.4072705</v>
      </c>
      <c r="P25" s="11" t="n">
        <f aca="false">-P20*INDEX('Cover &amp; Assumptions'!$B$33:$D$33,'Cover &amp; Assumptions'!$B$43)</f>
        <v>-8827895.04787432</v>
      </c>
      <c r="Q25" s="11" t="n">
        <f aca="false">-Q20*INDEX('Cover &amp; Assumptions'!$B$33:$D$33,'Cover &amp; Assumptions'!$B$43)</f>
        <v>-8337456.43410353</v>
      </c>
    </row>
    <row r="26" customFormat="false" ht="15" hidden="false" customHeight="true" outlineLevel="0" collapsed="false">
      <c r="A26" s="14" t="s">
        <v>180</v>
      </c>
      <c r="C26" s="11" t="n">
        <f aca="false">0</f>
        <v>0</v>
      </c>
      <c r="D26" s="11" t="n">
        <f aca="false">-'Cover &amp; Assumptions'!$C$34</f>
        <v>-22500000</v>
      </c>
      <c r="E26" s="11" t="n">
        <f aca="false">0</f>
        <v>0</v>
      </c>
      <c r="F26" s="11" t="n">
        <f aca="false">0</f>
        <v>0</v>
      </c>
      <c r="G26" s="11" t="n">
        <f aca="false">0</f>
        <v>0</v>
      </c>
      <c r="H26" s="11" t="n">
        <f aca="false">0</f>
        <v>0</v>
      </c>
      <c r="I26" s="11" t="n">
        <f aca="false">0</f>
        <v>0</v>
      </c>
      <c r="J26" s="11" t="n">
        <f aca="false">0</f>
        <v>0</v>
      </c>
      <c r="K26" s="11" t="n">
        <f aca="false">0</f>
        <v>0</v>
      </c>
      <c r="L26" s="11" t="n">
        <f aca="false">0</f>
        <v>0</v>
      </c>
      <c r="M26" s="11" t="n">
        <f aca="false">0</f>
        <v>0</v>
      </c>
      <c r="N26" s="11" t="n">
        <f aca="false">0</f>
        <v>0</v>
      </c>
      <c r="O26" s="11" t="n">
        <f aca="false">0</f>
        <v>0</v>
      </c>
      <c r="P26" s="11" t="n">
        <f aca="false">0</f>
        <v>0</v>
      </c>
      <c r="Q26" s="11" t="n">
        <f aca="false">0</f>
        <v>0</v>
      </c>
    </row>
    <row r="27" customFormat="false" ht="15" hidden="false" customHeight="true" outlineLevel="0" collapsed="false">
      <c r="A27" s="14" t="s">
        <v>181</v>
      </c>
      <c r="C27" s="11" t="n">
        <f aca="false">-IF(AND((C20)&gt;=75000000,(0)&lt;75000000),'Cover &amp; Assumptions'!$C$35*0.5,0)-IF(AND((C20)&gt;=200000000,(0)&lt;200000000),'Cover &amp; Assumptions'!$C$35*0.5,0)</f>
        <v>-0</v>
      </c>
      <c r="D27" s="11" t="n">
        <f aca="false">-IF(AND((C20+D20)&gt;=75000000,(C20)&lt;75000000),'Cover &amp; Assumptions'!$C$35*0.5,0)-IF(AND((C20+D20)&gt;=200000000,(C20)&lt;200000000),'Cover &amp; Assumptions'!$C$35*0.5,0)</f>
        <v>-0</v>
      </c>
      <c r="E27" s="11" t="n">
        <f aca="false">-IF(AND((C20+D20+E20)&gt;=75000000,(C20+D20)&lt;75000000),'Cover &amp; Assumptions'!$C$35*0.5,0)-IF(AND((C20+D20+E20)&gt;=200000000,(C20+D20)&lt;200000000),'Cover &amp; Assumptions'!$C$35*0.5,0)</f>
        <v>-0</v>
      </c>
      <c r="F27" s="11" t="n">
        <f aca="false">-IF(AND((C20+D20+E20+F20)&gt;=75000000,(C20+D20+E20)&lt;75000000),'Cover &amp; Assumptions'!$C$35*0.5,0)-IF(AND((C20+D20+E20+F20)&gt;=200000000,(C20+D20+E20)&lt;200000000),'Cover &amp; Assumptions'!$C$35*0.5,0)</f>
        <v>-50000000</v>
      </c>
      <c r="G27" s="11" t="n">
        <f aca="false">-IF(AND((C20+D20+E20+F20+G20)&gt;=75000000,(C20+D20+E20+F20)&lt;75000000),'Cover &amp; Assumptions'!$C$35*0.5,0)-IF(AND((C20+D20+E20+F20+G20)&gt;=200000000,(C20+D20+E20+F20)&lt;200000000),'Cover &amp; Assumptions'!$C$35*0.5,0)</f>
        <v>-50000000</v>
      </c>
      <c r="H27" s="11" t="n">
        <f aca="false">-IF(AND((C20+D20+E20+F20+G20+H20)&gt;=75000000,(C20+D20+E20+F20+G20)&lt;75000000),'Cover &amp; Assumptions'!$C$35*0.5,0)-IF(AND((C20+D20+E20+F20+G20+H20)&gt;=200000000,(C20+D20+E20+F20+G20)&lt;200000000),'Cover &amp; Assumptions'!$C$35*0.5,0)</f>
        <v>-0</v>
      </c>
      <c r="I27" s="11" t="n">
        <f aca="false">-IF(AND((C20+D20+E20+F20+G20+H20+I20)&gt;=75000000,(C20+D20+E20+F20+G20+H20)&lt;75000000),'Cover &amp; Assumptions'!$C$35*0.5,0)-IF(AND((C20+D20+E20+F20+G20+H20+I20)&gt;=200000000,(C20+D20+E20+F20+G20+H20)&lt;200000000),'Cover &amp; Assumptions'!$C$35*0.5,0)</f>
        <v>-0</v>
      </c>
      <c r="J27" s="11" t="n">
        <f aca="false">-IF(AND((C20+D20+E20+F20+G20+H20+I20+J20)&gt;=75000000,(C20+D20+E20+F20+G20+H20+I20)&lt;75000000),'Cover &amp; Assumptions'!$C$35*0.5,0)-IF(AND((C20+D20+E20+F20+G20+H20+I20+J20)&gt;=200000000,(C20+D20+E20+F20+G20+H20+I20)&lt;200000000),'Cover &amp; Assumptions'!$C$35*0.5,0)</f>
        <v>-0</v>
      </c>
      <c r="K27" s="11" t="n">
        <f aca="false">-IF(AND((C20+D20+E20+F20+G20+H20+I20+J20+K20)&gt;=75000000,(C20+D20+E20+F20+G20+H20+I20+J20)&lt;75000000),'Cover &amp; Assumptions'!$C$35*0.5,0)-IF(AND((C20+D20+E20+F20+G20+H20+I20+J20+K20)&gt;=200000000,(C20+D20+E20+F20+G20+H20+I20+J20)&lt;200000000),'Cover &amp; Assumptions'!$C$35*0.5,0)</f>
        <v>-0</v>
      </c>
      <c r="L27" s="11" t="n">
        <f aca="false">-IF(AND((C20+D20+E20+F20+G20+H20+I20+J20+K20+L20)&gt;=75000000,(C20+D20+E20+F20+G20+H20+I20+J20+K20)&lt;75000000),'Cover &amp; Assumptions'!$C$35*0.5,0)-IF(AND((C20+D20+E20+F20+G20+H20+I20+J20+K20+L20)&gt;=200000000,(C20+D20+E20+F20+G20+H20+I20+J20+K20)&lt;200000000),'Cover &amp; Assumptions'!$C$35*0.5,0)</f>
        <v>-0</v>
      </c>
      <c r="M27" s="11" t="n">
        <f aca="false">-IF(AND((C20+D20+E20+F20+G20+H20+I20+J20+K20+L20+M20)&gt;=75000000,(C20+D20+E20+F20+G20+H20+I20+J20+K20+L20)&lt;75000000),'Cover &amp; Assumptions'!$C$35*0.5,0)-IF(AND((C20+D20+E20+F20+G20+H20+I20+J20+K20+L20+M20)&gt;=200000000,(C20+D20+E20+F20+G20+H20+I20+J20+K20+L20)&lt;200000000),'Cover &amp; Assumptions'!$C$35*0.5,0)</f>
        <v>-0</v>
      </c>
      <c r="N27" s="11" t="n">
        <f aca="false">-IF(AND((C20+D20+E20+F20+G20+H20+I20+J20+K20+L20+M20+N20)&gt;=75000000,(C20+D20+E20+F20+G20+H20+I20+J20+K20+L20+M20)&lt;75000000),'Cover &amp; Assumptions'!$C$35*0.5,0)-IF(AND((C20+D20+E20+F20+G20+H20+I20+J20+K20+L20+M20+N20)&gt;=200000000,(C20+D20+E20+F20+G20+H20+I20+J20+K20+L20+M20)&lt;200000000),'Cover &amp; Assumptions'!$C$35*0.5,0)</f>
        <v>-0</v>
      </c>
      <c r="O27" s="11" t="n">
        <f aca="false">-IF(AND((C20+D20+E20+F20+G20+H20+I20+J20+K20+L20+M20+N20+O20)&gt;=75000000,(C20+D20+E20+F20+G20+H20+I20+J20+K20+L20+M20+N20)&lt;75000000),'Cover &amp; Assumptions'!$C$35*0.5,0)-IF(AND((C20+D20+E20+F20+G20+H20+I20+J20+K20+L20+M20+N20+O20)&gt;=200000000,(C20+D20+E20+F20+G20+H20+I20+J20+K20+L20+M20+N20)&lt;200000000),'Cover &amp; Assumptions'!$C$35*0.5,0)</f>
        <v>-0</v>
      </c>
      <c r="P27" s="11" t="n">
        <f aca="false">-IF(AND((C20+D20+E20+F20+G20+H20+I20+J20+K20+L20+M20+N20+O20+P20)&gt;=75000000,(C20+D20+E20+F20+G20+H20+I20+J20+K20+L20+M20+N20+O20)&lt;75000000),'Cover &amp; Assumptions'!$C$35*0.5,0)-IF(AND((C20+D20+E20+F20+G20+H20+I20+J20+K20+L20+M20+N20+O20+P20)&gt;=200000000,(C20+D20+E20+F20+G20+H20+I20+J20+K20+L20+M20+N20+O20)&lt;200000000),'Cover &amp; Assumptions'!$C$35*0.5,0)</f>
        <v>-0</v>
      </c>
      <c r="Q27" s="11" t="n">
        <f aca="false">-IF(AND((C20+D20+E20+F20+G20+H20+I20+J20+K20+L20+M20+N20+O20+P20+Q20)&gt;=75000000,(C20+D20+E20+F20+G20+H20+I20+J20+K20+L20+M20+N20+O20+P20)&lt;75000000),'Cover &amp; Assumptions'!$C$35*0.5,0)-IF(AND((C20+D20+E20+F20+G20+H20+I20+J20+K20+L20+M20+N20+O20+P20+Q20)&gt;=200000000,(C20+D20+E20+F20+G20+H20+I20+J20+K20+L20+M20+N20+O20+P20)&lt;200000000),'Cover &amp; Assumptions'!$C$35*0.5,0)</f>
        <v>-0</v>
      </c>
    </row>
    <row r="28" customFormat="false" ht="15" hidden="false" customHeight="true" outlineLevel="0" collapsed="false">
      <c r="A28" s="14" t="s">
        <v>182</v>
      </c>
      <c r="C28" s="11" t="n">
        <f aca="false">0</f>
        <v>0</v>
      </c>
      <c r="D28" s="11" t="n">
        <f aca="false">-MAX(D20*INDEX('Cover &amp; Assumptions'!$B$36:$D$36,'Cover &amp; Assumptions'!$B$43),8000000)</f>
        <v>-8000000</v>
      </c>
      <c r="E28" s="11" t="n">
        <f aca="false">-MAX(E20*INDEX('Cover &amp; Assumptions'!$B$36:$D$36,'Cover &amp; Assumptions'!$B$43),8000000)</f>
        <v>-14572427.625</v>
      </c>
      <c r="F28" s="11" t="n">
        <f aca="false">-MAX(F20*INDEX('Cover &amp; Assumptions'!$B$36:$D$36,'Cover &amp; Assumptions'!$B$43),8000000)</f>
        <v>-22686968.9025</v>
      </c>
      <c r="G28" s="11" t="n">
        <f aca="false">-MAX(G20*INDEX('Cover &amp; Assumptions'!$B$36:$D$36,'Cover &amp; Assumptions'!$B$43),8000000)</f>
        <v>-30322307.4021</v>
      </c>
      <c r="H28" s="11" t="n">
        <f aca="false">-MAX(H20*INDEX('Cover &amp; Assumptions'!$B$36:$D$36,'Cover &amp; Assumptions'!$B$43),8000000)</f>
        <v>-36626155.519905</v>
      </c>
      <c r="I28" s="11" t="n">
        <f aca="false">-MAX(I20*INDEX('Cover &amp; Assumptions'!$B$36:$D$36,'Cover &amp; Assumptions'!$B$43),8000000)</f>
        <v>-40181334.3490371</v>
      </c>
      <c r="J28" s="11" t="n">
        <f aca="false">-MAX(J20*INDEX('Cover &amp; Assumptions'!$B$36:$D$36,'Cover &amp; Assumptions'!$B$43),8000000)</f>
        <v>-42339835.7810102</v>
      </c>
      <c r="K28" s="11" t="n">
        <f aca="false">-MAX(K20*INDEX('Cover &amp; Assumptions'!$B$36:$D$36,'Cover &amp; Assumptions'!$B$43),8000000)</f>
        <v>-43186632.4966304</v>
      </c>
      <c r="L28" s="11" t="n">
        <f aca="false">-MAX(L20*INDEX('Cover &amp; Assumptions'!$B$36:$D$36,'Cover &amp; Assumptions'!$B$43),8000000)</f>
        <v>-44050365.146563</v>
      </c>
      <c r="M28" s="11" t="n">
        <f aca="false">-MAX(M20*INDEX('Cover &amp; Assumptions'!$B$36:$D$36,'Cover &amp; Assumptions'!$B$43),8000000)</f>
        <v>-44931372.4494943</v>
      </c>
      <c r="N28" s="11" t="n">
        <f aca="false">-MAX(N20*INDEX('Cover &amp; Assumptions'!$B$36:$D$36,'Cover &amp; Assumptions'!$B$43),8000000)</f>
        <v>-38863839.9139146</v>
      </c>
      <c r="O28" s="11" t="n">
        <f aca="false">-MAX(O20*INDEX('Cover &amp; Assumptions'!$B$36:$D$36,'Cover &amp; Assumptions'!$B$43),8000000)</f>
        <v>-33657551.9254468</v>
      </c>
      <c r="P28" s="11" t="n">
        <f aca="false">-MAX(P20*INDEX('Cover &amp; Assumptions'!$B$36:$D$36,'Cover &amp; Assumptions'!$B$43),8000000)</f>
        <v>-30897632.6675601</v>
      </c>
      <c r="Q28" s="11" t="n">
        <f aca="false">-MAX(Q20*INDEX('Cover &amp; Assumptions'!$B$36:$D$36,'Cover &amp; Assumptions'!$B$43),8000000)</f>
        <v>-29181097.5193623</v>
      </c>
    </row>
    <row r="29" customFormat="false" ht="15" hidden="false" customHeight="true" outlineLevel="0" collapsed="false">
      <c r="A29" s="14" t="s">
        <v>183</v>
      </c>
      <c r="C29" s="11" t="n">
        <f aca="false">-'Cover &amp; Assumptions'!$C$37</f>
        <v>-48000000</v>
      </c>
      <c r="D29" s="11" t="n">
        <f aca="false">0</f>
        <v>0</v>
      </c>
      <c r="E29" s="11" t="n">
        <f aca="false">0</f>
        <v>0</v>
      </c>
      <c r="F29" s="11" t="n">
        <f aca="false">0</f>
        <v>0</v>
      </c>
      <c r="G29" s="11" t="n">
        <f aca="false">0</f>
        <v>0</v>
      </c>
      <c r="H29" s="11" t="n">
        <f aca="false">0</f>
        <v>0</v>
      </c>
      <c r="I29" s="11" t="n">
        <f aca="false">0</f>
        <v>0</v>
      </c>
      <c r="J29" s="11" t="n">
        <f aca="false">0</f>
        <v>0</v>
      </c>
      <c r="K29" s="11" t="n">
        <f aca="false">0</f>
        <v>0</v>
      </c>
      <c r="L29" s="11" t="n">
        <f aca="false">0</f>
        <v>0</v>
      </c>
      <c r="M29" s="11" t="n">
        <f aca="false">0</f>
        <v>0</v>
      </c>
      <c r="N29" s="11" t="n">
        <f aca="false">0</f>
        <v>0</v>
      </c>
      <c r="O29" s="11" t="n">
        <f aca="false">0</f>
        <v>0</v>
      </c>
      <c r="P29" s="11" t="n">
        <f aca="false">0</f>
        <v>0</v>
      </c>
      <c r="Q29" s="11" t="n">
        <f aca="false">0</f>
        <v>0</v>
      </c>
    </row>
    <row r="30" customFormat="false" ht="15" hidden="false" customHeight="true" outlineLevel="0" collapsed="false">
      <c r="A30" s="6" t="s">
        <v>184</v>
      </c>
      <c r="C30" s="22" t="n">
        <f aca="false">SUM(C24+C25+C26+C27+C28+C29)</f>
        <v>-48000000</v>
      </c>
      <c r="D30" s="22" t="n">
        <f aca="false">SUM(D24+D25+D26+D27+D28+D29)</f>
        <v>-19053458</v>
      </c>
      <c r="E30" s="22" t="n">
        <f aca="false">SUM(E24+E25+E26+E27+E28+E29)</f>
        <v>15405137.775</v>
      </c>
      <c r="F30" s="22" t="n">
        <f aca="false">SUM(F24+F25+F26+F27+F28+F29)</f>
        <v>-26016632.8745</v>
      </c>
      <c r="G30" s="22" t="n">
        <f aca="false">SUM(G24+G25+G26+G27+G28+G29)</f>
        <v>-17944989.31778</v>
      </c>
      <c r="H30" s="22" t="n">
        <f aca="false">SUM(H24+H25+H26+H27+H28+H29)</f>
        <v>38719078.692471</v>
      </c>
      <c r="I30" s="22" t="n">
        <f aca="false">SUM(I24+I25+I26+I27+I28+I29)</f>
        <v>42477410.5975535</v>
      </c>
      <c r="J30" s="22" t="n">
        <f aca="false">SUM(J24+J25+J26+J27+J28+J29)</f>
        <v>44759254.9684965</v>
      </c>
      <c r="K30" s="22" t="n">
        <f aca="false">SUM(K24+K25+K26+K27+K28+K29)</f>
        <v>45654440.0678664</v>
      </c>
      <c r="L30" s="22" t="n">
        <f aca="false">SUM(L24+L25+L26+L27+L28+L29)</f>
        <v>46567528.8692237</v>
      </c>
      <c r="M30" s="22" t="n">
        <f aca="false">SUM(M24+M25+M26+M27+M28+M29)</f>
        <v>47498879.4466082</v>
      </c>
      <c r="N30" s="22" t="n">
        <f aca="false">SUM(N24+N25+N26+N27+N28+N29)</f>
        <v>41084630.7661382</v>
      </c>
      <c r="O30" s="22" t="n">
        <f aca="false">SUM(O24+O25+O26+O27+O28+O29)</f>
        <v>35580840.6069008</v>
      </c>
      <c r="P30" s="22" t="n">
        <f aca="false">SUM(P24+P25+P26+P27+P28+P29)</f>
        <v>32663211.677135</v>
      </c>
      <c r="Q30" s="22" t="n">
        <f aca="false">SUM(Q24+Q25+Q26+Q27+Q28+Q29)</f>
        <v>30848588.806183</v>
      </c>
    </row>
    <row r="31" customFormat="false" ht="15" hidden="false" customHeight="true" outlineLevel="0" collapsed="false">
      <c r="A31" s="14" t="s">
        <v>185</v>
      </c>
      <c r="C31" s="11" t="n">
        <f aca="false">-MAX(C30,0)*INDEX('Cover &amp; Assumptions'!$B$38:$D$38,'Cover &amp; Assumptions'!$B$43)</f>
        <v>-0</v>
      </c>
      <c r="D31" s="11" t="n">
        <f aca="false">-MAX(D30,0)*INDEX('Cover &amp; Assumptions'!$B$38:$D$38,'Cover &amp; Assumptions'!$B$43)</f>
        <v>-0</v>
      </c>
      <c r="E31" s="11" t="n">
        <f aca="false">-MAX(E30,0)*INDEX('Cover &amp; Assumptions'!$B$38:$D$38,'Cover &amp; Assumptions'!$B$43)</f>
        <v>-3235078.93275</v>
      </c>
      <c r="F31" s="11" t="n">
        <f aca="false">-MAX(F30,0)*INDEX('Cover &amp; Assumptions'!$B$38:$D$38,'Cover &amp; Assumptions'!$B$43)</f>
        <v>-0</v>
      </c>
      <c r="G31" s="11" t="n">
        <f aca="false">-MAX(G30,0)*INDEX('Cover &amp; Assumptions'!$B$38:$D$38,'Cover &amp; Assumptions'!$B$43)</f>
        <v>-0</v>
      </c>
      <c r="H31" s="11" t="n">
        <f aca="false">-MAX(H30,0)*INDEX('Cover &amp; Assumptions'!$B$38:$D$38,'Cover &amp; Assumptions'!$B$43)</f>
        <v>-8131006.52541891</v>
      </c>
      <c r="I31" s="11" t="n">
        <f aca="false">-MAX(I30,0)*INDEX('Cover &amp; Assumptions'!$B$38:$D$38,'Cover &amp; Assumptions'!$B$43)</f>
        <v>-8920256.22548624</v>
      </c>
      <c r="J31" s="11" t="n">
        <f aca="false">-MAX(J30,0)*INDEX('Cover &amp; Assumptions'!$B$38:$D$38,'Cover &amp; Assumptions'!$B$43)</f>
        <v>-9399443.54338426</v>
      </c>
      <c r="K31" s="11" t="n">
        <f aca="false">-MAX(K30,0)*INDEX('Cover &amp; Assumptions'!$B$38:$D$38,'Cover &amp; Assumptions'!$B$43)</f>
        <v>-9587432.41425195</v>
      </c>
      <c r="L31" s="11" t="n">
        <f aca="false">-MAX(L30,0)*INDEX('Cover &amp; Assumptions'!$B$38:$D$38,'Cover &amp; Assumptions'!$B$43)</f>
        <v>-9779181.06253699</v>
      </c>
      <c r="M31" s="11" t="n">
        <f aca="false">-MAX(M30,0)*INDEX('Cover &amp; Assumptions'!$B$38:$D$38,'Cover &amp; Assumptions'!$B$43)</f>
        <v>-9974764.68378773</v>
      </c>
      <c r="N31" s="11" t="n">
        <f aca="false">-MAX(N30,0)*INDEX('Cover &amp; Assumptions'!$B$38:$D$38,'Cover &amp; Assumptions'!$B$43)</f>
        <v>-8627772.46088903</v>
      </c>
      <c r="O31" s="11" t="n">
        <f aca="false">-MAX(O30,0)*INDEX('Cover &amp; Assumptions'!$B$38:$D$38,'Cover &amp; Assumptions'!$B$43)</f>
        <v>-7471976.52744918</v>
      </c>
      <c r="P31" s="11" t="n">
        <f aca="false">-MAX(P30,0)*INDEX('Cover &amp; Assumptions'!$B$38:$D$38,'Cover &amp; Assumptions'!$B$43)</f>
        <v>-6859274.45219835</v>
      </c>
      <c r="Q31" s="11" t="n">
        <f aca="false">-MAX(Q30,0)*INDEX('Cover &amp; Assumptions'!$B$38:$D$38,'Cover &amp; Assumptions'!$B$43)</f>
        <v>-6478203.64929844</v>
      </c>
    </row>
    <row r="32" customFormat="false" ht="15" hidden="false" customHeight="true" outlineLevel="0" collapsed="false">
      <c r="A32" s="6" t="s">
        <v>186</v>
      </c>
      <c r="C32" s="33" t="n">
        <f aca="false">C30+C31</f>
        <v>-48000000</v>
      </c>
      <c r="D32" s="33" t="n">
        <f aca="false">D30+D31</f>
        <v>-19053458</v>
      </c>
      <c r="E32" s="33" t="n">
        <f aca="false">E30+E31</f>
        <v>12170058.84225</v>
      </c>
      <c r="F32" s="33" t="n">
        <f aca="false">F30+F31</f>
        <v>-26016632.8745</v>
      </c>
      <c r="G32" s="33" t="n">
        <f aca="false">G30+G31</f>
        <v>-17944989.31778</v>
      </c>
      <c r="H32" s="33" t="n">
        <f aca="false">H30+H31</f>
        <v>30588072.1670521</v>
      </c>
      <c r="I32" s="33" t="n">
        <f aca="false">I30+I31</f>
        <v>33557154.3720673</v>
      </c>
      <c r="J32" s="33" t="n">
        <f aca="false">J30+J31</f>
        <v>35359811.4251122</v>
      </c>
      <c r="K32" s="33" t="n">
        <f aca="false">K30+K31</f>
        <v>36067007.6536145</v>
      </c>
      <c r="L32" s="33" t="n">
        <f aca="false">L30+L31</f>
        <v>36788347.8066868</v>
      </c>
      <c r="M32" s="33" t="n">
        <f aca="false">M30+M31</f>
        <v>37524114.7628205</v>
      </c>
      <c r="N32" s="33" t="n">
        <f aca="false">N30+N31</f>
        <v>32456858.3052492</v>
      </c>
      <c r="O32" s="33" t="n">
        <f aca="false">O30+O31</f>
        <v>28108864.0794517</v>
      </c>
      <c r="P32" s="33" t="n">
        <f aca="false">P30+P31</f>
        <v>25803937.2249366</v>
      </c>
      <c r="Q32" s="33" t="n">
        <f aca="false">Q30+Q31</f>
        <v>24370385.1568846</v>
      </c>
    </row>
    <row r="34" customFormat="false" ht="15" hidden="false" customHeight="true" outlineLevel="0" collapsed="false">
      <c r="A34" s="5" t="s">
        <v>187</v>
      </c>
      <c r="B34" s="5"/>
      <c r="C34" s="5"/>
      <c r="D34" s="5"/>
      <c r="E34" s="5"/>
      <c r="F34" s="5"/>
      <c r="G34" s="5"/>
      <c r="H34" s="5"/>
      <c r="I34" s="5"/>
      <c r="J34" s="5"/>
      <c r="K34" s="5"/>
      <c r="L34" s="5"/>
      <c r="M34" s="5"/>
      <c r="N34" s="5"/>
      <c r="O34" s="5"/>
      <c r="P34" s="5"/>
      <c r="Q34" s="5"/>
    </row>
    <row r="35" customFormat="false" ht="15" hidden="false" customHeight="true" outlineLevel="0" collapsed="false">
      <c r="A35" s="14" t="s">
        <v>188</v>
      </c>
      <c r="C35" s="32" t="n">
        <f aca="false">1</f>
        <v>1</v>
      </c>
      <c r="D35" s="32" t="n">
        <f aca="false">INDEX('Cover &amp; Assumptions'!$B$22:$D$22,'Cover &amp; Assumptions'!$B$43)</f>
        <v>0.78</v>
      </c>
      <c r="E35" s="32" t="n">
        <f aca="false">INDEX('Cover &amp; Assumptions'!$B$22:$D$22,'Cover &amp; Assumptions'!$B$43)</f>
        <v>0.78</v>
      </c>
      <c r="F35" s="32" t="n">
        <f aca="false">INDEX('Cover &amp; Assumptions'!$B$22:$D$22,'Cover &amp; Assumptions'!$B$43)</f>
        <v>0.78</v>
      </c>
      <c r="G35" s="32" t="n">
        <f aca="false">INDEX('Cover &amp; Assumptions'!$B$22:$D$22,'Cover &amp; Assumptions'!$B$43)</f>
        <v>0.78</v>
      </c>
      <c r="H35" s="32" t="n">
        <f aca="false">INDEX('Cover &amp; Assumptions'!$B$22:$D$22,'Cover &amp; Assumptions'!$B$43)</f>
        <v>0.78</v>
      </c>
      <c r="I35" s="32" t="n">
        <f aca="false">INDEX('Cover &amp; Assumptions'!$B$22:$D$22,'Cover &amp; Assumptions'!$B$43)</f>
        <v>0.78</v>
      </c>
      <c r="J35" s="32" t="n">
        <f aca="false">INDEX('Cover &amp; Assumptions'!$B$22:$D$22,'Cover &amp; Assumptions'!$B$43)</f>
        <v>0.78</v>
      </c>
      <c r="K35" s="32" t="n">
        <f aca="false">INDEX('Cover &amp; Assumptions'!$B$22:$D$22,'Cover &amp; Assumptions'!$B$43)</f>
        <v>0.78</v>
      </c>
      <c r="L35" s="32" t="n">
        <f aca="false">INDEX('Cover &amp; Assumptions'!$B$22:$D$22,'Cover &amp; Assumptions'!$B$43)</f>
        <v>0.78</v>
      </c>
      <c r="M35" s="32" t="n">
        <f aca="false">INDEX('Cover &amp; Assumptions'!$B$22:$D$22,'Cover &amp; Assumptions'!$B$43)</f>
        <v>0.78</v>
      </c>
      <c r="N35" s="32" t="n">
        <f aca="false">INDEX('Cover &amp; Assumptions'!$B$22:$D$22,'Cover &amp; Assumptions'!$B$43)</f>
        <v>0.78</v>
      </c>
      <c r="O35" s="32" t="n">
        <f aca="false">INDEX('Cover &amp; Assumptions'!$B$22:$D$22,'Cover &amp; Assumptions'!$B$43)</f>
        <v>0.78</v>
      </c>
      <c r="P35" s="32" t="n">
        <f aca="false">INDEX('Cover &amp; Assumptions'!$B$22:$D$22,'Cover &amp; Assumptions'!$B$43)</f>
        <v>0.78</v>
      </c>
      <c r="Q35" s="32" t="n">
        <f aca="false">INDEX('Cover &amp; Assumptions'!$B$22:$D$22,'Cover &amp; Assumptions'!$B$43)</f>
        <v>0.78</v>
      </c>
    </row>
    <row r="36" customFormat="false" ht="25.5" hidden="false" customHeight="true" outlineLevel="0" collapsed="false">
      <c r="A36" s="9" t="s">
        <v>189</v>
      </c>
      <c r="B36" s="9"/>
      <c r="C36" s="9"/>
      <c r="D36" s="9"/>
      <c r="E36" s="9"/>
      <c r="F36" s="9"/>
      <c r="G36" s="9"/>
      <c r="H36" s="9"/>
      <c r="I36" s="9"/>
      <c r="J36" s="9"/>
      <c r="K36" s="9"/>
      <c r="L36" s="9"/>
      <c r="M36" s="9"/>
      <c r="N36" s="9"/>
      <c r="O36" s="9"/>
      <c r="P36" s="9"/>
      <c r="Q36" s="9"/>
    </row>
    <row r="37" customFormat="false" ht="15" hidden="false" customHeight="true" outlineLevel="0" collapsed="false">
      <c r="A37" s="6" t="s">
        <v>190</v>
      </c>
      <c r="C37" s="33" t="n">
        <f aca="false">C32*C35</f>
        <v>-48000000</v>
      </c>
      <c r="D37" s="33" t="n">
        <f aca="false">D32*D35</f>
        <v>-14861697.24</v>
      </c>
      <c r="E37" s="33" t="n">
        <f aca="false">E32*E35</f>
        <v>9492645.896955</v>
      </c>
      <c r="F37" s="33" t="n">
        <f aca="false">F32*F35</f>
        <v>-20292973.64211</v>
      </c>
      <c r="G37" s="33" t="n">
        <f aca="false">G32*G35</f>
        <v>-13997091.6678684</v>
      </c>
      <c r="H37" s="33" t="n">
        <f aca="false">H32*H35</f>
        <v>23858696.2903006</v>
      </c>
      <c r="I37" s="33" t="n">
        <f aca="false">I32*I35</f>
        <v>26174580.4102125</v>
      </c>
      <c r="J37" s="33" t="n">
        <f aca="false">J32*J35</f>
        <v>27580652.9115875</v>
      </c>
      <c r="K37" s="33" t="n">
        <f aca="false">K32*K35</f>
        <v>28132265.9698193</v>
      </c>
      <c r="L37" s="33" t="n">
        <f aca="false">L32*L35</f>
        <v>28694911.2892157</v>
      </c>
      <c r="M37" s="33" t="n">
        <f aca="false">M32*M35</f>
        <v>29268809.515</v>
      </c>
      <c r="N37" s="33" t="n">
        <f aca="false">N32*N35</f>
        <v>25316349.4780944</v>
      </c>
      <c r="O37" s="33" t="n">
        <f aca="false">O32*O35</f>
        <v>21924913.9819723</v>
      </c>
      <c r="P37" s="33" t="n">
        <f aca="false">P32*P35</f>
        <v>20127071.0354506</v>
      </c>
      <c r="Q37" s="33" t="n">
        <f aca="false">Q32*Q35</f>
        <v>19008900.42237</v>
      </c>
    </row>
    <row r="38" customFormat="false" ht="15" hidden="false" customHeight="true" outlineLevel="0" collapsed="false">
      <c r="A38" s="14" t="s">
        <v>191</v>
      </c>
      <c r="C38" s="34" t="n">
        <f aca="false">(DATE(2026,7,1)-'Cover &amp; Assumptions'!$C$20)/365</f>
        <v>0.479452054794521</v>
      </c>
      <c r="D38" s="34" t="n">
        <f aca="false">(DATE(2027,7,1)-'Cover &amp; Assumptions'!$C$20)/365</f>
        <v>1.47945205479452</v>
      </c>
      <c r="E38" s="34" t="n">
        <f aca="false">(DATE(2028,7,1)-'Cover &amp; Assumptions'!$C$20)/365</f>
        <v>2.48219178082192</v>
      </c>
      <c r="F38" s="34" t="n">
        <f aca="false">(DATE(2029,7,1)-'Cover &amp; Assumptions'!$C$20)/365</f>
        <v>3.48219178082192</v>
      </c>
      <c r="G38" s="34" t="n">
        <f aca="false">(DATE(2030,7,1)-'Cover &amp; Assumptions'!$C$20)/365</f>
        <v>4.48219178082192</v>
      </c>
      <c r="H38" s="34" t="n">
        <f aca="false">(DATE(2031,7,1)-'Cover &amp; Assumptions'!$C$20)/365</f>
        <v>5.48219178082192</v>
      </c>
      <c r="I38" s="34" t="n">
        <f aca="false">(DATE(2032,7,1)-'Cover &amp; Assumptions'!$C$20)/365</f>
        <v>6.48493150684932</v>
      </c>
      <c r="J38" s="34" t="n">
        <f aca="false">(DATE(2033,7,1)-'Cover &amp; Assumptions'!$C$20)/365</f>
        <v>7.48493150684932</v>
      </c>
      <c r="K38" s="34" t="n">
        <f aca="false">(DATE(2034,7,1)-'Cover &amp; Assumptions'!$C$20)/365</f>
        <v>8.48493150684932</v>
      </c>
      <c r="L38" s="34" t="n">
        <f aca="false">(DATE(2035,7,1)-'Cover &amp; Assumptions'!$C$20)/365</f>
        <v>9.48493150684932</v>
      </c>
      <c r="M38" s="34" t="n">
        <f aca="false">(DATE(2036,7,1)-'Cover &amp; Assumptions'!$C$20)/365</f>
        <v>10.4876712328767</v>
      </c>
      <c r="N38" s="34" t="n">
        <f aca="false">(DATE(2037,7,1)-'Cover &amp; Assumptions'!$C$20)/365</f>
        <v>11.4876712328767</v>
      </c>
      <c r="O38" s="34" t="n">
        <f aca="false">(DATE(2038,7,1)-'Cover &amp; Assumptions'!$C$20)/365</f>
        <v>12.4876712328767</v>
      </c>
      <c r="P38" s="34" t="n">
        <f aca="false">(DATE(2039,7,1)-'Cover &amp; Assumptions'!$C$20)/365</f>
        <v>13.4876712328767</v>
      </c>
      <c r="Q38" s="34" t="n">
        <f aca="false">(DATE(2040,7,1)-'Cover &amp; Assumptions'!$C$20)/365</f>
        <v>14.4904109589041</v>
      </c>
    </row>
    <row r="39" customFormat="false" ht="15" hidden="false" customHeight="true" outlineLevel="0" collapsed="false">
      <c r="A39" s="14" t="s">
        <v>192</v>
      </c>
      <c r="C39" s="35" t="n">
        <f aca="false">1/(1+INDEX('Cover &amp; Assumptions'!$B$21:$D$21,'Cover &amp; Assumptions'!$B$43))^C38</f>
        <v>0.935186643915405</v>
      </c>
      <c r="D39" s="35" t="n">
        <f aca="false">1/(1+INDEX('Cover &amp; Assumptions'!$B$21:$D$21,'Cover &amp; Assumptions'!$B$43))^D38</f>
        <v>0.813205777317743</v>
      </c>
      <c r="E39" s="35" t="n">
        <f aca="false">1/(1+INDEX('Cover &amp; Assumptions'!$B$21:$D$21,'Cover &amp; Assumptions'!$B$43))^E38</f>
        <v>0.706864741534338</v>
      </c>
      <c r="F39" s="35" t="n">
        <f aca="false">1/(1+INDEX('Cover &amp; Assumptions'!$B$21:$D$21,'Cover &amp; Assumptions'!$B$43))^F38</f>
        <v>0.614664992638555</v>
      </c>
      <c r="G39" s="35" t="n">
        <f aca="false">1/(1+INDEX('Cover &amp; Assumptions'!$B$21:$D$21,'Cover &amp; Assumptions'!$B$43))^G38</f>
        <v>0.534491297946569</v>
      </c>
      <c r="H39" s="35" t="n">
        <f aca="false">1/(1+INDEX('Cover &amp; Assumptions'!$B$21:$D$21,'Cover &amp; Assumptions'!$B$43))^H38</f>
        <v>0.464775041692669</v>
      </c>
      <c r="I39" s="35" t="n">
        <f aca="false">1/(1+INDEX('Cover &amp; Assumptions'!$B$21:$D$21,'Cover &amp; Assumptions'!$B$43))^I38</f>
        <v>0.403997486099182</v>
      </c>
      <c r="J39" s="35" t="n">
        <f aca="false">1/(1+INDEX('Cover &amp; Assumptions'!$B$21:$D$21,'Cover &amp; Assumptions'!$B$43))^J38</f>
        <v>0.351302161825376</v>
      </c>
      <c r="K39" s="35" t="n">
        <f aca="false">1/(1+INDEX('Cover &amp; Assumptions'!$B$21:$D$21,'Cover &amp; Assumptions'!$B$43))^K38</f>
        <v>0.305480140717718</v>
      </c>
      <c r="L39" s="35" t="n">
        <f aca="false">1/(1+INDEX('Cover &amp; Assumptions'!$B$21:$D$21,'Cover &amp; Assumptions'!$B$43))^L38</f>
        <v>0.265634904971929</v>
      </c>
      <c r="M39" s="35" t="n">
        <f aca="false">1/(1+INDEX('Cover &amp; Assumptions'!$B$21:$D$21,'Cover &amp; Assumptions'!$B$43))^M38</f>
        <v>0.230898443767591</v>
      </c>
      <c r="N39" s="35" t="n">
        <f aca="false">1/(1+INDEX('Cover &amp; Assumptions'!$B$21:$D$21,'Cover &amp; Assumptions'!$B$43))^N38</f>
        <v>0.200781255450079</v>
      </c>
      <c r="O39" s="35" t="n">
        <f aca="false">1/(1+INDEX('Cover &amp; Assumptions'!$B$21:$D$21,'Cover &amp; Assumptions'!$B$43))^O38</f>
        <v>0.174592396043547</v>
      </c>
      <c r="P39" s="35" t="n">
        <f aca="false">1/(1+INDEX('Cover &amp; Assumptions'!$B$21:$D$21,'Cover &amp; Assumptions'!$B$43))^P38</f>
        <v>0.151819474820475</v>
      </c>
      <c r="Q39" s="35" t="n">
        <f aca="false">1/(1+INDEX('Cover &amp; Assumptions'!$B$21:$D$21,'Cover &amp; Assumptions'!$B$43))^Q38</f>
        <v>0.131966393774061</v>
      </c>
    </row>
    <row r="40" customFormat="false" ht="15" hidden="false" customHeight="true" outlineLevel="0" collapsed="false">
      <c r="A40" s="6" t="s">
        <v>193</v>
      </c>
      <c r="C40" s="22" t="n">
        <f aca="false">C37*C39</f>
        <v>-44888958.9079394</v>
      </c>
      <c r="D40" s="22" t="n">
        <f aca="false">D37*D39</f>
        <v>-12085618.0563152</v>
      </c>
      <c r="E40" s="22" t="n">
        <f aca="false">E37*E39</f>
        <v>6710016.68842809</v>
      </c>
      <c r="F40" s="22" t="n">
        <f aca="false">F37*F39</f>
        <v>-12473380.4943419</v>
      </c>
      <c r="G40" s="22" t="n">
        <f aca="false">G37*G39</f>
        <v>-7481323.69303609</v>
      </c>
      <c r="H40" s="22" t="n">
        <f aca="false">H37*H39</f>
        <v>11088926.5630572</v>
      </c>
      <c r="I40" s="22" t="n">
        <f aca="false">I37*I39</f>
        <v>10574464.6854267</v>
      </c>
      <c r="J40" s="22" t="n">
        <f aca="false">J37*J39</f>
        <v>9689142.99239604</v>
      </c>
      <c r="K40" s="22" t="n">
        <f aca="false">K37*K39</f>
        <v>8593848.56716866</v>
      </c>
      <c r="L40" s="22" t="n">
        <f aca="false">L37*L39</f>
        <v>7622370.03348873</v>
      </c>
      <c r="M40" s="22" t="n">
        <f aca="false">M37*M39</f>
        <v>6758122.56794354</v>
      </c>
      <c r="N40" s="22" t="n">
        <f aca="false">N37*N39</f>
        <v>5083048.43162474</v>
      </c>
      <c r="O40" s="22" t="n">
        <f aca="false">O37*O39</f>
        <v>3827923.2651612</v>
      </c>
      <c r="P40" s="22" t="n">
        <f aca="false">P37*P39</f>
        <v>3055681.35427651</v>
      </c>
      <c r="Q40" s="22" t="n">
        <f aca="false">Q37*Q39</f>
        <v>2508536.03835038</v>
      </c>
    </row>
    <row r="42" customFormat="false" ht="15" hidden="false" customHeight="true" outlineLevel="0" collapsed="false">
      <c r="A42" s="5" t="s">
        <v>194</v>
      </c>
      <c r="B42" s="5"/>
      <c r="C42" s="5"/>
      <c r="D42" s="5"/>
      <c r="E42" s="5"/>
      <c r="F42" s="5"/>
      <c r="G42" s="5"/>
      <c r="H42" s="5"/>
      <c r="I42" s="5"/>
      <c r="J42" s="5"/>
      <c r="K42" s="5"/>
      <c r="L42" s="5"/>
      <c r="M42" s="5"/>
      <c r="N42" s="5"/>
      <c r="O42" s="5"/>
      <c r="P42" s="5"/>
      <c r="Q42" s="5"/>
    </row>
    <row r="43" customFormat="false" ht="15" hidden="false" customHeight="true" outlineLevel="0" collapsed="false">
      <c r="A43" s="6" t="s">
        <v>195</v>
      </c>
      <c r="C43" s="22" t="n">
        <f aca="false">SUM(C40:Q40)</f>
        <v>-1417199.96431077</v>
      </c>
    </row>
    <row r="44" customFormat="false" ht="15" hidden="false" customHeight="true" outlineLevel="0" collapsed="false">
      <c r="A44" s="14" t="s">
        <v>196</v>
      </c>
      <c r="C44" s="11" t="n">
        <f aca="false">'Cover &amp; Assumptions'!$C$40*INDEX('Cover &amp; Assumptions'!$B$22:$D$22,'Cover &amp; Assumptions'!$B$43)*0.5</f>
        <v>15600000</v>
      </c>
      <c r="D44" s="9" t="s">
        <v>197</v>
      </c>
      <c r="E44" s="9"/>
      <c r="F44" s="9"/>
      <c r="G44" s="9"/>
      <c r="H44" s="9"/>
      <c r="I44" s="9"/>
      <c r="J44" s="9"/>
      <c r="K44" s="9"/>
      <c r="L44" s="9"/>
      <c r="M44" s="9"/>
      <c r="N44" s="9"/>
      <c r="O44" s="9"/>
      <c r="P44" s="9"/>
      <c r="Q44" s="9"/>
    </row>
    <row r="45" customFormat="false" ht="15" hidden="false" customHeight="true" outlineLevel="0" collapsed="false">
      <c r="A45" s="6" t="s">
        <v>198</v>
      </c>
      <c r="C45" s="33" t="n">
        <f aca="false">C43</f>
        <v>-1417199.96431077</v>
      </c>
    </row>
    <row r="46" customFormat="false" ht="15" hidden="false" customHeight="true" outlineLevel="0" collapsed="false">
      <c r="A46" s="14" t="s">
        <v>199</v>
      </c>
      <c r="C46" s="11" t="n">
        <f aca="false">'Balance Sheet &amp; Runway'!$E$5</f>
        <v>107300000</v>
      </c>
    </row>
    <row r="47" customFormat="false" ht="15" hidden="false" customHeight="true" outlineLevel="0" collapsed="false">
      <c r="A47" s="14" t="s">
        <v>200</v>
      </c>
      <c r="C47" s="11" t="n">
        <f aca="false">-'Balance Sheet &amp; Runway'!$B$11</f>
        <v>-50000000</v>
      </c>
    </row>
    <row r="48" customFormat="false" ht="15" hidden="false" customHeight="true" outlineLevel="0" collapsed="false">
      <c r="A48" s="6" t="s">
        <v>201</v>
      </c>
      <c r="C48" s="22" t="n">
        <f aca="false">C45+C46+C47</f>
        <v>55882800.0356892</v>
      </c>
    </row>
    <row r="49" customFormat="false" ht="15" hidden="false" customHeight="true" outlineLevel="0" collapsed="false">
      <c r="A49" s="14" t="s">
        <v>202</v>
      </c>
      <c r="C49" s="25" t="n">
        <f aca="false">'Balance Sheet &amp; Runway'!$B$40</f>
        <v>2962278</v>
      </c>
    </row>
    <row r="50" customFormat="false" ht="15.75" hidden="false" customHeight="true" outlineLevel="0" collapsed="false">
      <c r="A50" s="6" t="s">
        <v>203</v>
      </c>
      <c r="C50" s="36" t="n">
        <f aca="false">C48/C49</f>
        <v>18.8648060835915</v>
      </c>
    </row>
    <row r="52" customFormat="false" ht="54.75" hidden="false" customHeight="true" outlineLevel="0" collapsed="false">
      <c r="A52" s="9" t="s">
        <v>204</v>
      </c>
      <c r="B52" s="9"/>
      <c r="C52" s="9"/>
      <c r="D52" s="9"/>
      <c r="E52" s="9"/>
      <c r="F52" s="9"/>
      <c r="G52" s="9"/>
      <c r="H52" s="9"/>
      <c r="I52" s="9"/>
      <c r="J52" s="9"/>
      <c r="K52" s="9"/>
      <c r="L52" s="9"/>
      <c r="M52" s="9"/>
      <c r="N52" s="9"/>
      <c r="O52" s="9"/>
      <c r="P52" s="9"/>
      <c r="Q52" s="9"/>
    </row>
  </sheetData>
  <mergeCells count="10">
    <mergeCell ref="A1:Q1"/>
    <mergeCell ref="A2:Q2"/>
    <mergeCell ref="A4:Q4"/>
    <mergeCell ref="A18:Q18"/>
    <mergeCell ref="A22:Q22"/>
    <mergeCell ref="A34:Q34"/>
    <mergeCell ref="A36:Q36"/>
    <mergeCell ref="A42:Q42"/>
    <mergeCell ref="D44:Q44"/>
    <mergeCell ref="A52:Q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4"/>
    <col collapsed="false" customWidth="true" hidden="false" outlineLevel="0" max="17" min="3" style="1" width="11"/>
  </cols>
  <sheetData>
    <row r="1" customFormat="false" ht="30" hidden="false" customHeight="true" outlineLevel="0" collapsed="false">
      <c r="A1" s="2" t="s">
        <v>205</v>
      </c>
      <c r="B1" s="2"/>
      <c r="C1" s="2"/>
      <c r="D1" s="2"/>
      <c r="E1" s="2"/>
      <c r="F1" s="2"/>
      <c r="G1" s="2"/>
      <c r="H1" s="2"/>
      <c r="I1" s="2"/>
      <c r="J1" s="2"/>
      <c r="K1" s="2"/>
      <c r="L1" s="2"/>
      <c r="M1" s="2"/>
      <c r="N1" s="2"/>
      <c r="O1" s="2"/>
      <c r="P1" s="2"/>
      <c r="Q1" s="2"/>
    </row>
    <row r="2" customFormat="false" ht="54.75" hidden="false" customHeight="true" outlineLevel="0" collapsed="false">
      <c r="A2" s="9" t="s">
        <v>206</v>
      </c>
      <c r="B2" s="9"/>
      <c r="C2" s="9"/>
      <c r="D2" s="9"/>
      <c r="E2" s="9"/>
      <c r="F2" s="9"/>
      <c r="G2" s="9"/>
      <c r="H2" s="9"/>
      <c r="I2" s="9"/>
      <c r="J2" s="9"/>
      <c r="K2" s="9"/>
      <c r="L2" s="9"/>
      <c r="M2" s="9"/>
      <c r="N2" s="9"/>
      <c r="O2" s="9"/>
      <c r="P2" s="9"/>
      <c r="Q2" s="9"/>
    </row>
    <row r="4" customFormat="false" ht="15" hidden="false" customHeight="true" outlineLevel="0" collapsed="false">
      <c r="A4" s="5" t="s">
        <v>207</v>
      </c>
      <c r="B4" s="5"/>
      <c r="C4" s="5"/>
      <c r="D4" s="5"/>
      <c r="E4" s="5"/>
      <c r="F4" s="5"/>
      <c r="G4" s="5"/>
      <c r="H4" s="5"/>
      <c r="I4" s="5"/>
      <c r="J4" s="5"/>
      <c r="K4" s="5"/>
      <c r="L4" s="5"/>
      <c r="M4" s="5"/>
      <c r="N4" s="5"/>
      <c r="O4" s="5"/>
      <c r="P4" s="5"/>
      <c r="Q4" s="5"/>
    </row>
    <row r="5" customFormat="false" ht="15" hidden="false" customHeight="true" outlineLevel="0" collapsed="false">
      <c r="C5" s="37" t="n">
        <v>2026</v>
      </c>
      <c r="D5" s="37" t="n">
        <v>2027</v>
      </c>
      <c r="E5" s="37" t="n">
        <v>2028</v>
      </c>
      <c r="F5" s="37" t="n">
        <v>2029</v>
      </c>
      <c r="G5" s="37" t="n">
        <v>2030</v>
      </c>
      <c r="H5" s="37" t="n">
        <v>2031</v>
      </c>
      <c r="I5" s="37" t="n">
        <v>2032</v>
      </c>
      <c r="J5" s="37" t="n">
        <v>2033</v>
      </c>
      <c r="K5" s="37" t="n">
        <v>2034</v>
      </c>
      <c r="L5" s="37" t="n">
        <v>2035</v>
      </c>
      <c r="M5" s="37" t="n">
        <v>2036</v>
      </c>
      <c r="N5" s="37" t="n">
        <v>2037</v>
      </c>
      <c r="O5" s="37" t="n">
        <v>2038</v>
      </c>
      <c r="P5" s="37" t="n">
        <v>2039</v>
      </c>
      <c r="Q5" s="37" t="n">
        <v>2040</v>
      </c>
    </row>
    <row r="6" customFormat="false" ht="15" hidden="false" customHeight="true" outlineLevel="0" collapsed="false">
      <c r="A6" s="14" t="s">
        <v>208</v>
      </c>
      <c r="C6" s="11" t="n">
        <f aca="false">'rNPV Model'!C20</f>
        <v>0</v>
      </c>
      <c r="D6" s="11" t="n">
        <f aca="false">'rNPV Model'!D20</f>
        <v>15897975</v>
      </c>
      <c r="E6" s="11" t="n">
        <f aca="false">'rNPV Model'!E20</f>
        <v>41635507.5</v>
      </c>
      <c r="F6" s="11" t="n">
        <f aca="false">'rNPV Model'!F20</f>
        <v>64819911.15</v>
      </c>
      <c r="G6" s="11" t="n">
        <f aca="false">'rNPV Model'!G20</f>
        <v>86635164.006</v>
      </c>
      <c r="H6" s="11" t="n">
        <f aca="false">'rNPV Model'!H20</f>
        <v>104646158.6283</v>
      </c>
      <c r="I6" s="11" t="n">
        <f aca="false">'rNPV Model'!I20</f>
        <v>114803812.42582</v>
      </c>
      <c r="J6" s="11" t="n">
        <f aca="false">'rNPV Model'!J20</f>
        <v>120970959.374315</v>
      </c>
      <c r="K6" s="11" t="n">
        <f aca="false">'rNPV Model'!K20</f>
        <v>123390378.561801</v>
      </c>
      <c r="L6" s="11" t="n">
        <f aca="false">'rNPV Model'!L20</f>
        <v>125858186.133037</v>
      </c>
      <c r="M6" s="11" t="n">
        <f aca="false">'rNPV Model'!M20</f>
        <v>128375349.855698</v>
      </c>
      <c r="N6" s="11" t="n">
        <f aca="false">'rNPV Model'!N20</f>
        <v>111039542.611184</v>
      </c>
      <c r="O6" s="11" t="n">
        <f aca="false">'rNPV Model'!O20</f>
        <v>96164434.072705</v>
      </c>
      <c r="P6" s="11" t="n">
        <f aca="false">'rNPV Model'!P20</f>
        <v>88278950.4787432</v>
      </c>
      <c r="Q6" s="11" t="n">
        <f aca="false">'rNPV Model'!Q20</f>
        <v>83374564.3410353</v>
      </c>
    </row>
    <row r="7" customFormat="false" ht="15" hidden="false" customHeight="true" outlineLevel="0" collapsed="false">
      <c r="A7" s="6" t="s">
        <v>209</v>
      </c>
      <c r="C7" s="33" t="n">
        <f aca="false">'rNPV Model'!C32</f>
        <v>-48000000</v>
      </c>
      <c r="D7" s="33" t="n">
        <f aca="false">'rNPV Model'!D32</f>
        <v>-19053458</v>
      </c>
      <c r="E7" s="33" t="n">
        <f aca="false">'rNPV Model'!E32</f>
        <v>12170058.84225</v>
      </c>
      <c r="F7" s="33" t="n">
        <f aca="false">'rNPV Model'!F32</f>
        <v>-26016632.8745</v>
      </c>
      <c r="G7" s="33" t="n">
        <f aca="false">'rNPV Model'!G32</f>
        <v>-17944989.31778</v>
      </c>
      <c r="H7" s="33" t="n">
        <f aca="false">'rNPV Model'!H32</f>
        <v>30588072.1670521</v>
      </c>
      <c r="I7" s="33" t="n">
        <f aca="false">'rNPV Model'!I32</f>
        <v>33557154.3720673</v>
      </c>
      <c r="J7" s="33" t="n">
        <f aca="false">'rNPV Model'!J32</f>
        <v>35359811.4251122</v>
      </c>
      <c r="K7" s="33" t="n">
        <f aca="false">'rNPV Model'!K32</f>
        <v>36067007.6536145</v>
      </c>
      <c r="L7" s="33" t="n">
        <f aca="false">'rNPV Model'!L32</f>
        <v>36788347.8066868</v>
      </c>
      <c r="M7" s="33" t="n">
        <f aca="false">'rNPV Model'!M32</f>
        <v>37524114.7628205</v>
      </c>
      <c r="N7" s="33" t="n">
        <f aca="false">'rNPV Model'!N32</f>
        <v>32456858.3052492</v>
      </c>
      <c r="O7" s="33" t="n">
        <f aca="false">'rNPV Model'!O32</f>
        <v>28108864.0794517</v>
      </c>
      <c r="P7" s="33" t="n">
        <f aca="false">'rNPV Model'!P32</f>
        <v>25803937.2249366</v>
      </c>
      <c r="Q7" s="33" t="n">
        <f aca="false">'rNPV Model'!Q32</f>
        <v>24370385.1568846</v>
      </c>
    </row>
    <row r="9" customFormat="false" ht="15" hidden="false" customHeight="true" outlineLevel="0" collapsed="false">
      <c r="A9" s="5" t="s">
        <v>210</v>
      </c>
      <c r="B9" s="5"/>
      <c r="C9" s="5"/>
      <c r="D9" s="5"/>
      <c r="E9" s="5"/>
      <c r="F9" s="5"/>
      <c r="G9" s="5"/>
      <c r="H9" s="5"/>
      <c r="I9" s="5"/>
      <c r="J9" s="5"/>
      <c r="K9" s="5"/>
      <c r="L9" s="5"/>
      <c r="M9" s="5"/>
      <c r="N9" s="5"/>
      <c r="O9" s="5"/>
      <c r="P9" s="5"/>
      <c r="Q9" s="5"/>
    </row>
    <row r="10" customFormat="false" ht="15" hidden="false" customHeight="true" outlineLevel="0" collapsed="false">
      <c r="A10" s="14" t="s">
        <v>211</v>
      </c>
      <c r="C10" s="16" t="n">
        <v>-0.03</v>
      </c>
      <c r="D10" s="9" t="s">
        <v>212</v>
      </c>
      <c r="E10" s="9"/>
      <c r="F10" s="9"/>
      <c r="G10" s="9"/>
      <c r="H10" s="9"/>
      <c r="I10" s="9"/>
      <c r="J10" s="9"/>
      <c r="K10" s="9"/>
      <c r="L10" s="9"/>
      <c r="M10" s="9"/>
      <c r="N10" s="9"/>
      <c r="O10" s="9"/>
      <c r="P10" s="9"/>
    </row>
    <row r="11" customFormat="false" ht="15" hidden="false" customHeight="true" outlineLevel="0" collapsed="false">
      <c r="A11" s="14" t="s">
        <v>213</v>
      </c>
      <c r="C11" s="32" t="n">
        <f aca="false">INDEX('Cover &amp; Assumptions'!$B$21:$D$21,'Cover &amp; Assumptions'!$B$43)</f>
        <v>0.15</v>
      </c>
    </row>
    <row r="12" customFormat="false" ht="15" hidden="false" customHeight="true" outlineLevel="0" collapsed="false">
      <c r="A12" s="6" t="s">
        <v>214</v>
      </c>
      <c r="C12" s="33" t="n">
        <f aca="false">Q7*(1+C10)/(C11-C10)</f>
        <v>131329297.789878</v>
      </c>
    </row>
    <row r="14" customFormat="false" ht="15" hidden="false" customHeight="true" outlineLevel="0" collapsed="false">
      <c r="A14" s="5" t="s">
        <v>215</v>
      </c>
      <c r="B14" s="5"/>
      <c r="C14" s="5"/>
      <c r="D14" s="5"/>
      <c r="E14" s="5"/>
      <c r="F14" s="5"/>
      <c r="G14" s="5"/>
      <c r="H14" s="5"/>
      <c r="I14" s="5"/>
      <c r="J14" s="5"/>
      <c r="K14" s="5"/>
      <c r="L14" s="5"/>
      <c r="M14" s="5"/>
      <c r="N14" s="5"/>
      <c r="O14" s="5"/>
      <c r="P14" s="5"/>
      <c r="Q14" s="5"/>
    </row>
    <row r="15" customFormat="false" ht="15" hidden="false" customHeight="true" outlineLevel="0" collapsed="false">
      <c r="A15" s="14" t="s">
        <v>216</v>
      </c>
      <c r="C15" s="34" t="n">
        <f aca="false">'rNPV Model'!C38</f>
        <v>0.479452054794521</v>
      </c>
      <c r="D15" s="34" t="n">
        <f aca="false">'rNPV Model'!D38</f>
        <v>1.47945205479452</v>
      </c>
      <c r="E15" s="34" t="n">
        <f aca="false">'rNPV Model'!E38</f>
        <v>2.48219178082192</v>
      </c>
      <c r="F15" s="34" t="n">
        <f aca="false">'rNPV Model'!F38</f>
        <v>3.48219178082192</v>
      </c>
      <c r="G15" s="34" t="n">
        <f aca="false">'rNPV Model'!G38</f>
        <v>4.48219178082192</v>
      </c>
      <c r="H15" s="34" t="n">
        <f aca="false">'rNPV Model'!H38</f>
        <v>5.48219178082192</v>
      </c>
      <c r="I15" s="34" t="n">
        <f aca="false">'rNPV Model'!I38</f>
        <v>6.48493150684932</v>
      </c>
      <c r="J15" s="34" t="n">
        <f aca="false">'rNPV Model'!J38</f>
        <v>7.48493150684932</v>
      </c>
      <c r="K15" s="34" t="n">
        <f aca="false">'rNPV Model'!K38</f>
        <v>8.48493150684932</v>
      </c>
      <c r="L15" s="34" t="n">
        <f aca="false">'rNPV Model'!L38</f>
        <v>9.48493150684932</v>
      </c>
      <c r="M15" s="34" t="n">
        <f aca="false">'rNPV Model'!M38</f>
        <v>10.4876712328767</v>
      </c>
      <c r="N15" s="34" t="n">
        <f aca="false">'rNPV Model'!N38</f>
        <v>11.4876712328767</v>
      </c>
      <c r="O15" s="34" t="n">
        <f aca="false">'rNPV Model'!O38</f>
        <v>12.4876712328767</v>
      </c>
      <c r="P15" s="34" t="n">
        <f aca="false">'rNPV Model'!P38</f>
        <v>13.4876712328767</v>
      </c>
      <c r="Q15" s="34" t="n">
        <f aca="false">'rNPV Model'!Q38</f>
        <v>14.4904109589041</v>
      </c>
    </row>
    <row r="16" customFormat="false" ht="15" hidden="false" customHeight="true" outlineLevel="0" collapsed="false">
      <c r="A16" s="14" t="s">
        <v>192</v>
      </c>
      <c r="C16" s="35" t="n">
        <f aca="false">1/(1+C11)^C15</f>
        <v>0.935186643915405</v>
      </c>
      <c r="D16" s="35" t="n">
        <f aca="false">1/(1+C11)^D15</f>
        <v>0.813205777317743</v>
      </c>
      <c r="E16" s="35" t="n">
        <f aca="false">1/(1+C11)^E15</f>
        <v>0.706864741534338</v>
      </c>
      <c r="F16" s="35" t="n">
        <f aca="false">1/(1+C11)^F15</f>
        <v>0.614664992638555</v>
      </c>
      <c r="G16" s="35" t="n">
        <f aca="false">1/(1+C11)^G15</f>
        <v>0.534491297946569</v>
      </c>
      <c r="H16" s="35" t="n">
        <f aca="false">1/(1+C11)^H15</f>
        <v>0.464775041692669</v>
      </c>
      <c r="I16" s="35" t="n">
        <f aca="false">1/(1+C11)^I15</f>
        <v>0.403997486099182</v>
      </c>
      <c r="J16" s="35" t="n">
        <f aca="false">1/(1+C11)^J15</f>
        <v>0.351302161825376</v>
      </c>
      <c r="K16" s="35" t="n">
        <f aca="false">1/(1+C11)^K15</f>
        <v>0.305480140717718</v>
      </c>
      <c r="L16" s="35" t="n">
        <f aca="false">1/(1+C11)^L15</f>
        <v>0.265634904971929</v>
      </c>
      <c r="M16" s="35" t="n">
        <f aca="false">1/(1+C11)^M15</f>
        <v>0.230898443767591</v>
      </c>
      <c r="N16" s="35" t="n">
        <f aca="false">1/(1+C11)^N15</f>
        <v>0.200781255450079</v>
      </c>
      <c r="O16" s="35" t="n">
        <f aca="false">1/(1+C11)^O15</f>
        <v>0.174592396043547</v>
      </c>
      <c r="P16" s="35" t="n">
        <f aca="false">1/(1+C11)^P15</f>
        <v>0.151819474820475</v>
      </c>
      <c r="Q16" s="35" t="n">
        <f aca="false">1/(1+C11)^Q15</f>
        <v>0.131966393774061</v>
      </c>
    </row>
    <row r="17" customFormat="false" ht="15" hidden="false" customHeight="true" outlineLevel="0" collapsed="false">
      <c r="A17" s="6" t="s">
        <v>217</v>
      </c>
      <c r="C17" s="22" t="n">
        <f aca="false">C7*C16</f>
        <v>-44888958.9079394</v>
      </c>
      <c r="D17" s="22" t="n">
        <f aca="false">D7*D16</f>
        <v>-15494382.123481</v>
      </c>
      <c r="E17" s="22" t="n">
        <f aca="false">E7*E16</f>
        <v>8602585.49798473</v>
      </c>
      <c r="F17" s="22" t="n">
        <f aca="false">F7*F16</f>
        <v>-15991513.4542845</v>
      </c>
      <c r="G17" s="22" t="n">
        <f aca="false">G7*G16</f>
        <v>-9591440.63209755</v>
      </c>
      <c r="H17" s="22" t="n">
        <f aca="false">H7*H16</f>
        <v>14216572.51674</v>
      </c>
      <c r="I17" s="22" t="n">
        <f aca="false">I7*I16</f>
        <v>13557006.0069573</v>
      </c>
      <c r="J17" s="22" t="n">
        <f aca="false">J7*J16</f>
        <v>12421978.1953795</v>
      </c>
      <c r="K17" s="22" t="n">
        <f aca="false">K7*K16</f>
        <v>11017754.5732932</v>
      </c>
      <c r="L17" s="22" t="n">
        <f aca="false">L7*L16</f>
        <v>9772269.2737035</v>
      </c>
      <c r="M17" s="22" t="n">
        <f aca="false">M7*M16</f>
        <v>8664259.70249172</v>
      </c>
      <c r="N17" s="22" t="n">
        <f aca="false">N7*N16</f>
        <v>6516728.75849325</v>
      </c>
      <c r="O17" s="22" t="n">
        <f aca="false">O7*O16</f>
        <v>4907593.92969385</v>
      </c>
      <c r="P17" s="22" t="n">
        <f aca="false">P7*P16</f>
        <v>3917540.1977904</v>
      </c>
      <c r="Q17" s="22" t="n">
        <f aca="false">Q7*Q16</f>
        <v>3216071.84403895</v>
      </c>
    </row>
    <row r="18" customFormat="false" ht="15" hidden="false" customHeight="true" outlineLevel="0" collapsed="false">
      <c r="A18" s="14" t="s">
        <v>218</v>
      </c>
      <c r="C18" s="11" t="n">
        <f aca="false">C12*Q16</f>
        <v>17331053.8262099</v>
      </c>
    </row>
    <row r="20" customFormat="false" ht="15" hidden="false" customHeight="true" outlineLevel="0" collapsed="false">
      <c r="A20" s="5" t="s">
        <v>219</v>
      </c>
      <c r="B20" s="5"/>
      <c r="C20" s="5"/>
      <c r="D20" s="5"/>
      <c r="E20" s="5"/>
      <c r="F20" s="5"/>
      <c r="G20" s="5"/>
      <c r="H20" s="5"/>
      <c r="I20" s="5"/>
      <c r="J20" s="5"/>
      <c r="K20" s="5"/>
      <c r="L20" s="5"/>
      <c r="M20" s="5"/>
      <c r="N20" s="5"/>
      <c r="O20" s="5"/>
      <c r="P20" s="5"/>
      <c r="Q20" s="5"/>
    </row>
    <row r="21" customFormat="false" ht="15" hidden="false" customHeight="true" outlineLevel="0" collapsed="false">
      <c r="A21" s="6" t="s">
        <v>220</v>
      </c>
      <c r="C21" s="33" t="n">
        <f aca="false">SUM(C17:Q17)</f>
        <v>10844065.378764</v>
      </c>
    </row>
    <row r="22" customFormat="false" ht="15" hidden="false" customHeight="true" outlineLevel="0" collapsed="false">
      <c r="A22" s="14" t="s">
        <v>221</v>
      </c>
      <c r="C22" s="11" t="n">
        <f aca="false">C18</f>
        <v>17331053.8262099</v>
      </c>
    </row>
    <row r="23" customFormat="false" ht="15" hidden="false" customHeight="true" outlineLevel="0" collapsed="false">
      <c r="A23" s="6" t="s">
        <v>222</v>
      </c>
      <c r="C23" s="22" t="n">
        <f aca="false">C21+C18</f>
        <v>28175119.2049739</v>
      </c>
    </row>
    <row r="24" customFormat="false" ht="15" hidden="false" customHeight="true" outlineLevel="0" collapsed="false">
      <c r="A24" s="14" t="s">
        <v>199</v>
      </c>
      <c r="C24" s="11" t="n">
        <f aca="false">'Balance Sheet &amp; Runway'!$E$5</f>
        <v>107300000</v>
      </c>
    </row>
    <row r="25" customFormat="false" ht="15" hidden="false" customHeight="true" outlineLevel="0" collapsed="false">
      <c r="A25" s="14" t="s">
        <v>223</v>
      </c>
      <c r="C25" s="11" t="n">
        <f aca="false">-'Balance Sheet &amp; Runway'!$B$11</f>
        <v>-50000000</v>
      </c>
    </row>
    <row r="26" customFormat="false" ht="15" hidden="false" customHeight="true" outlineLevel="0" collapsed="false">
      <c r="A26" s="6" t="s">
        <v>224</v>
      </c>
      <c r="C26" s="22" t="n">
        <f aca="false">C23+C24+C25</f>
        <v>85475119.2049739</v>
      </c>
    </row>
    <row r="27" customFormat="false" ht="15" hidden="false" customHeight="true" outlineLevel="0" collapsed="false">
      <c r="A27" s="14" t="s">
        <v>202</v>
      </c>
      <c r="C27" s="25" t="n">
        <f aca="false">'Balance Sheet &amp; Runway'!$B$40</f>
        <v>2962278</v>
      </c>
    </row>
    <row r="28" customFormat="false" ht="15.75" hidden="false" customHeight="true" outlineLevel="0" collapsed="false">
      <c r="A28" s="6" t="s">
        <v>225</v>
      </c>
      <c r="C28" s="36" t="n">
        <f aca="false">C26/C27</f>
        <v>28.8545231760739</v>
      </c>
    </row>
    <row r="29" customFormat="false" ht="15" hidden="false" customHeight="true" outlineLevel="0" collapsed="false">
      <c r="A29" s="14" t="s">
        <v>226</v>
      </c>
      <c r="C29" s="32" t="n">
        <f aca="false">'rNPV Model'!$C$50/C28</f>
        <v>0.653790255637776</v>
      </c>
      <c r="D29" s="9" t="s">
        <v>227</v>
      </c>
      <c r="E29" s="9"/>
      <c r="F29" s="9"/>
      <c r="G29" s="9"/>
      <c r="H29" s="9"/>
      <c r="I29" s="9"/>
      <c r="J29" s="9"/>
      <c r="K29" s="9"/>
      <c r="L29" s="9"/>
      <c r="M29" s="9"/>
      <c r="N29" s="9"/>
      <c r="O29" s="9"/>
      <c r="P29" s="9"/>
    </row>
    <row r="31" customFormat="false" ht="39.75" hidden="false" customHeight="true" outlineLevel="0" collapsed="false">
      <c r="A31" s="9" t="s">
        <v>228</v>
      </c>
      <c r="B31" s="9"/>
      <c r="C31" s="9"/>
      <c r="D31" s="9"/>
      <c r="E31" s="9"/>
      <c r="F31" s="9"/>
      <c r="G31" s="9"/>
      <c r="H31" s="9"/>
      <c r="I31" s="9"/>
      <c r="J31" s="9"/>
      <c r="K31" s="9"/>
      <c r="L31" s="9"/>
      <c r="M31" s="9"/>
      <c r="N31" s="9"/>
      <c r="O31" s="9"/>
      <c r="P31" s="9"/>
      <c r="Q31" s="9"/>
    </row>
  </sheetData>
  <mergeCells count="9">
    <mergeCell ref="A1:Q1"/>
    <mergeCell ref="A2:Q2"/>
    <mergeCell ref="A4:Q4"/>
    <mergeCell ref="A9:Q9"/>
    <mergeCell ref="D10:P10"/>
    <mergeCell ref="A14:Q14"/>
    <mergeCell ref="A20:Q20"/>
    <mergeCell ref="D29:P29"/>
    <mergeCell ref="A31:Q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6" min="2" style="1" width="14"/>
    <col collapsed="false" customWidth="true" hidden="false" outlineLevel="0" max="7" min="7" style="1" width="40"/>
  </cols>
  <sheetData>
    <row r="1" customFormat="false" ht="27.75" hidden="false" customHeight="true" outlineLevel="0" collapsed="false">
      <c r="A1" s="2" t="s">
        <v>229</v>
      </c>
      <c r="B1" s="2"/>
      <c r="C1" s="2"/>
      <c r="D1" s="2"/>
      <c r="E1" s="2"/>
      <c r="F1" s="2"/>
      <c r="G1" s="2"/>
    </row>
    <row r="2" customFormat="false" ht="39.75" hidden="false" customHeight="true" outlineLevel="0" collapsed="false">
      <c r="A2" s="9" t="s">
        <v>230</v>
      </c>
      <c r="B2" s="9"/>
      <c r="C2" s="9"/>
      <c r="D2" s="9"/>
      <c r="E2" s="9"/>
      <c r="F2" s="9"/>
      <c r="G2" s="9"/>
    </row>
    <row r="4" customFormat="false" ht="15" hidden="false" customHeight="true" outlineLevel="0" collapsed="false">
      <c r="A4" s="5" t="s">
        <v>231</v>
      </c>
      <c r="B4" s="5"/>
      <c r="C4" s="5"/>
      <c r="D4" s="5"/>
      <c r="E4" s="5"/>
      <c r="F4" s="5"/>
      <c r="G4" s="5"/>
    </row>
    <row r="5" customFormat="false" ht="23.25" hidden="false" customHeight="true" outlineLevel="0" collapsed="false">
      <c r="A5" s="13" t="s">
        <v>232</v>
      </c>
      <c r="B5" s="13" t="s">
        <v>233</v>
      </c>
      <c r="C5" s="13" t="s">
        <v>234</v>
      </c>
      <c r="D5" s="13" t="s">
        <v>235</v>
      </c>
      <c r="E5" s="13" t="s">
        <v>236</v>
      </c>
      <c r="F5" s="13" t="s">
        <v>237</v>
      </c>
    </row>
    <row r="6" customFormat="false" ht="60" hidden="false" customHeight="true" outlineLevel="0" collapsed="false">
      <c r="A6" s="14" t="s">
        <v>238</v>
      </c>
      <c r="B6" s="12" t="n">
        <v>790000000</v>
      </c>
      <c r="C6" s="12" t="n">
        <v>236800000</v>
      </c>
      <c r="D6" s="33" t="n">
        <f aca="false">B6-C6</f>
        <v>553200000</v>
      </c>
      <c r="E6" s="12" t="n">
        <v>165000000</v>
      </c>
      <c r="F6" s="14" t="s">
        <v>239</v>
      </c>
      <c r="G6" s="38" t="s">
        <v>240</v>
      </c>
    </row>
    <row r="7" customFormat="false" ht="129.75" hidden="false" customHeight="true" outlineLevel="0" collapsed="false">
      <c r="A7" s="14" t="s">
        <v>241</v>
      </c>
      <c r="B7" s="14" t="s">
        <v>242</v>
      </c>
      <c r="C7" s="14" t="s">
        <v>243</v>
      </c>
      <c r="D7" s="14" t="s">
        <v>244</v>
      </c>
      <c r="E7" s="14" t="s">
        <v>245</v>
      </c>
      <c r="F7" s="14" t="s">
        <v>246</v>
      </c>
      <c r="G7" s="38" t="s">
        <v>247</v>
      </c>
    </row>
    <row r="9" customFormat="false" ht="15" hidden="false" customHeight="true" outlineLevel="0" collapsed="false">
      <c r="A9" s="5" t="s">
        <v>248</v>
      </c>
      <c r="B9" s="5"/>
      <c r="C9" s="5"/>
      <c r="D9" s="5"/>
      <c r="E9" s="5"/>
      <c r="F9" s="5"/>
      <c r="G9" s="5"/>
    </row>
    <row r="10" customFormat="false" ht="15" hidden="false" customHeight="true" outlineLevel="0" collapsed="false">
      <c r="A10" s="14" t="s">
        <v>249</v>
      </c>
      <c r="B10" s="12" t="n">
        <v>150000000</v>
      </c>
      <c r="C10" s="14" t="s">
        <v>27</v>
      </c>
      <c r="D10" s="12" t="n">
        <v>180000000</v>
      </c>
      <c r="E10" s="14" t="s">
        <v>29</v>
      </c>
    </row>
    <row r="11" customFormat="false" ht="30" hidden="false" customHeight="true" outlineLevel="0" collapsed="false">
      <c r="A11" s="6" t="s">
        <v>250</v>
      </c>
      <c r="B11" s="39" t="n">
        <f aca="false">$D$6/D10</f>
        <v>3.07333333333333</v>
      </c>
      <c r="C11" s="40" t="n">
        <f aca="false">$D$6/$E$6</f>
        <v>3.35272727272727</v>
      </c>
      <c r="D11" s="39" t="n">
        <f aca="false">$D$6/B10</f>
        <v>3.688</v>
      </c>
      <c r="E11" s="14"/>
      <c r="F11" s="9" t="s">
        <v>251</v>
      </c>
      <c r="G11" s="9"/>
    </row>
    <row r="12" customFormat="false" ht="15" hidden="false" customHeight="true" outlineLevel="0" collapsed="false">
      <c r="A12" s="6" t="s">
        <v>252</v>
      </c>
      <c r="B12" s="41" t="n">
        <f aca="false">$D$6/$E$6</f>
        <v>3.35272727272727</v>
      </c>
    </row>
    <row r="14" customFormat="false" ht="15" hidden="false" customHeight="true" outlineLevel="0" collapsed="false">
      <c r="A14" s="5" t="s">
        <v>253</v>
      </c>
      <c r="B14" s="5"/>
      <c r="C14" s="5"/>
      <c r="D14" s="5"/>
      <c r="E14" s="5"/>
      <c r="F14" s="5"/>
      <c r="G14" s="5"/>
    </row>
    <row r="15" customFormat="false" ht="45" hidden="false" customHeight="true" outlineLevel="0" collapsed="false">
      <c r="A15" s="9" t="s">
        <v>254</v>
      </c>
      <c r="B15" s="9"/>
      <c r="C15" s="9"/>
      <c r="D15" s="9"/>
      <c r="E15" s="9"/>
      <c r="F15" s="9"/>
      <c r="G15" s="9"/>
    </row>
    <row r="16" customFormat="false" ht="34.5" hidden="false" customHeight="true" outlineLevel="0" collapsed="false">
      <c r="A16" s="13" t="s">
        <v>255</v>
      </c>
      <c r="B16" s="13" t="s">
        <v>256</v>
      </c>
      <c r="C16" s="13" t="s">
        <v>257</v>
      </c>
      <c r="D16" s="13" t="s">
        <v>258</v>
      </c>
      <c r="E16" s="13" t="s">
        <v>259</v>
      </c>
    </row>
    <row r="17" customFormat="false" ht="15" hidden="false" customHeight="true" outlineLevel="0" collapsed="false">
      <c r="A17" s="14" t="s">
        <v>260</v>
      </c>
      <c r="B17" s="12" t="n">
        <v>128400000</v>
      </c>
      <c r="C17" s="11" t="n">
        <f aca="false">B17*$B$11</f>
        <v>394616000</v>
      </c>
      <c r="D17" s="11" t="n">
        <f aca="false">B17*$B$12</f>
        <v>430490181.818182</v>
      </c>
      <c r="E17" s="11" t="n">
        <f aca="false">B17*$D$11</f>
        <v>473539200</v>
      </c>
      <c r="F17" s="9" t="s">
        <v>261</v>
      </c>
      <c r="G17" s="9"/>
    </row>
    <row r="18" customFormat="false" ht="15" hidden="false" customHeight="true" outlineLevel="0" collapsed="false">
      <c r="A18" s="14" t="s">
        <v>262</v>
      </c>
      <c r="B18" s="12" t="n">
        <v>321300000</v>
      </c>
      <c r="C18" s="11" t="n">
        <f aca="false">B18*$B$11</f>
        <v>987462000</v>
      </c>
      <c r="D18" s="11" t="n">
        <f aca="false">B18*$B$12</f>
        <v>1077231272.72727</v>
      </c>
      <c r="E18" s="11" t="n">
        <f aca="false">B18*$D$11</f>
        <v>1184954400</v>
      </c>
      <c r="F18" s="9" t="s">
        <v>263</v>
      </c>
      <c r="G18" s="9"/>
    </row>
    <row r="20" customFormat="false" ht="15" hidden="false" customHeight="true" outlineLevel="0" collapsed="false">
      <c r="A20" s="5" t="s">
        <v>264</v>
      </c>
      <c r="B20" s="5"/>
      <c r="C20" s="5"/>
      <c r="D20" s="5"/>
      <c r="E20" s="5"/>
      <c r="F20" s="5"/>
      <c r="G20" s="5"/>
    </row>
    <row r="21" customFormat="false" ht="15" hidden="false" customHeight="true" outlineLevel="0" collapsed="false">
      <c r="A21" s="14" t="s">
        <v>265</v>
      </c>
      <c r="B21" s="11" t="n">
        <f aca="false">D17</f>
        <v>430490181.818182</v>
      </c>
    </row>
    <row r="22" customFormat="false" ht="15" hidden="false" customHeight="true" outlineLevel="0" collapsed="false">
      <c r="A22" s="14" t="s">
        <v>266</v>
      </c>
      <c r="B22" s="11" t="n">
        <f aca="false">D18</f>
        <v>1077231272.72727</v>
      </c>
    </row>
    <row r="23" customFormat="false" ht="15" hidden="false" customHeight="true" outlineLevel="0" collapsed="false">
      <c r="A23" s="14" t="s">
        <v>199</v>
      </c>
      <c r="B23" s="11" t="n">
        <f aca="false">'Balance Sheet &amp; Runway'!$E$5</f>
        <v>107300000</v>
      </c>
    </row>
    <row r="24" customFormat="false" ht="15" hidden="false" customHeight="true" outlineLevel="0" collapsed="false">
      <c r="A24" s="14" t="s">
        <v>223</v>
      </c>
      <c r="B24" s="11" t="n">
        <f aca="false">-'Balance Sheet &amp; Runway'!$B$11</f>
        <v>-50000000</v>
      </c>
    </row>
    <row r="25" customFormat="false" ht="15" hidden="false" customHeight="true" outlineLevel="0" collapsed="false">
      <c r="A25" s="14" t="s">
        <v>202</v>
      </c>
      <c r="B25" s="25" t="n">
        <f aca="false">'Balance Sheet &amp; Runway'!$B$40</f>
        <v>2962278</v>
      </c>
    </row>
    <row r="26" customFormat="false" ht="15.75" hidden="false" customHeight="true" outlineLevel="0" collapsed="false">
      <c r="A26" s="6" t="s">
        <v>267</v>
      </c>
      <c r="B26" s="36" t="n">
        <f aca="false">(B21+B23+B24)/B25</f>
        <v>164.667253315922</v>
      </c>
    </row>
    <row r="27" customFormat="false" ht="15.75" hidden="false" customHeight="true" outlineLevel="0" collapsed="false">
      <c r="A27" s="6" t="s">
        <v>268</v>
      </c>
      <c r="B27" s="36" t="n">
        <f aca="false">(B22+B23+B24)/B25</f>
        <v>382.992842915916</v>
      </c>
    </row>
    <row r="29" customFormat="false" ht="15" hidden="false" customHeight="true" outlineLevel="0" collapsed="false">
      <c r="A29" s="5" t="s">
        <v>269</v>
      </c>
      <c r="B29" s="5"/>
      <c r="C29" s="5"/>
      <c r="D29" s="5"/>
      <c r="E29" s="5"/>
      <c r="F29" s="5"/>
      <c r="G29" s="5"/>
    </row>
    <row r="30" customFormat="false" ht="15" hidden="false" customHeight="true" outlineLevel="0" collapsed="false">
      <c r="A30" s="14" t="s">
        <v>270</v>
      </c>
      <c r="B30" s="42" t="n">
        <f aca="false">'Cover &amp; Assumptions'!$B$11</f>
        <v>43.54</v>
      </c>
    </row>
    <row r="31" customFormat="false" ht="15" hidden="false" customHeight="true" outlineLevel="0" collapsed="false">
      <c r="A31" s="14" t="s">
        <v>271</v>
      </c>
      <c r="B31" s="11" t="n">
        <f aca="false">'Cover &amp; Assumptions'!$B$13</f>
        <v>119834184.12</v>
      </c>
    </row>
    <row r="33" customFormat="false" ht="90" hidden="false" customHeight="true" outlineLevel="0" collapsed="false">
      <c r="A33" s="9" t="s">
        <v>272</v>
      </c>
      <c r="B33" s="9"/>
      <c r="C33" s="9"/>
      <c r="D33" s="9"/>
      <c r="E33" s="9"/>
      <c r="F33" s="9"/>
      <c r="G33" s="9"/>
    </row>
  </sheetData>
  <mergeCells count="12">
    <mergeCell ref="A1:G1"/>
    <mergeCell ref="A2:G2"/>
    <mergeCell ref="A4:G4"/>
    <mergeCell ref="A9:G9"/>
    <mergeCell ref="F11:G11"/>
    <mergeCell ref="A14:G14"/>
    <mergeCell ref="A15:G15"/>
    <mergeCell ref="F17:G17"/>
    <mergeCell ref="F18:G18"/>
    <mergeCell ref="A20:G20"/>
    <mergeCell ref="A29:G29"/>
    <mergeCell ref="A33: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5" min="2" style="1" width="16"/>
    <col collapsed="false" customWidth="true" hidden="false" outlineLevel="0" max="6" min="6" style="1" width="50"/>
    <col collapsed="false" customWidth="true" hidden="false" outlineLevel="0" max="7" min="7" style="1" width="4"/>
  </cols>
  <sheetData>
    <row r="1" customFormat="false" ht="27.75" hidden="false" customHeight="true" outlineLevel="0" collapsed="false">
      <c r="A1" s="2" t="s">
        <v>273</v>
      </c>
      <c r="B1" s="2"/>
      <c r="C1" s="2"/>
      <c r="D1" s="2"/>
      <c r="E1" s="2"/>
      <c r="F1" s="2"/>
    </row>
    <row r="2" customFormat="false" ht="27.75" hidden="false" customHeight="true" outlineLevel="0" collapsed="false">
      <c r="A2" s="9" t="s">
        <v>274</v>
      </c>
      <c r="B2" s="9"/>
      <c r="C2" s="9"/>
      <c r="D2" s="9"/>
      <c r="E2" s="9"/>
      <c r="F2" s="9"/>
    </row>
    <row r="4" customFormat="false" ht="15" hidden="false" customHeight="true" outlineLevel="0" collapsed="false">
      <c r="A4" s="5" t="s">
        <v>275</v>
      </c>
      <c r="B4" s="5"/>
      <c r="C4" s="5"/>
      <c r="D4" s="5"/>
      <c r="E4" s="5"/>
      <c r="F4" s="5"/>
    </row>
    <row r="5" customFormat="false" ht="15" hidden="false" customHeight="true" outlineLevel="0" collapsed="false">
      <c r="A5" s="14" t="s">
        <v>276</v>
      </c>
      <c r="B5" s="43" t="n">
        <f aca="false">'Cover &amp; Assumptions'!$B$11</f>
        <v>43.54</v>
      </c>
    </row>
    <row r="6" customFormat="false" ht="18.75" hidden="false" customHeight="true" outlineLevel="0" collapsed="false">
      <c r="A6" s="14" t="s">
        <v>277</v>
      </c>
      <c r="B6" s="8" t="n">
        <v>160</v>
      </c>
      <c r="C6" s="9" t="s">
        <v>278</v>
      </c>
      <c r="D6" s="9"/>
      <c r="E6" s="9"/>
      <c r="F6" s="9"/>
    </row>
    <row r="8" customFormat="false" ht="15" hidden="false" customHeight="true" outlineLevel="0" collapsed="false">
      <c r="A8" s="5" t="s">
        <v>279</v>
      </c>
      <c r="B8" s="5"/>
      <c r="C8" s="5"/>
      <c r="D8" s="5"/>
      <c r="E8" s="5"/>
      <c r="F8" s="5"/>
    </row>
    <row r="9" customFormat="false" ht="23.25" hidden="false" customHeight="true" outlineLevel="0" collapsed="false">
      <c r="A9" s="13" t="s">
        <v>280</v>
      </c>
      <c r="B9" s="13" t="s">
        <v>281</v>
      </c>
      <c r="C9" s="13" t="s">
        <v>282</v>
      </c>
      <c r="D9" s="13" t="s">
        <v>283</v>
      </c>
      <c r="E9" s="13" t="s">
        <v>284</v>
      </c>
      <c r="F9" s="13" t="s">
        <v>285</v>
      </c>
    </row>
    <row r="10" customFormat="false" ht="27.75" hidden="false" customHeight="true" outlineLevel="0" collapsed="false">
      <c r="A10" s="6" t="s">
        <v>286</v>
      </c>
      <c r="B10" s="43" t="n">
        <f aca="false">'rNPV Model'!$C$50</f>
        <v>18.8648060835915</v>
      </c>
      <c r="C10" s="32" t="n">
        <f aca="false">B10/B5-1</f>
        <v>-0.566724710987793</v>
      </c>
      <c r="D10" s="16" t="n">
        <v>0.55</v>
      </c>
      <c r="E10" s="42" t="n">
        <f aca="false">B10*D10</f>
        <v>10.3756433459753</v>
      </c>
      <c r="F10" s="38" t="s">
        <v>287</v>
      </c>
    </row>
    <row r="11" customFormat="false" ht="27.75" hidden="false" customHeight="true" outlineLevel="0" collapsed="false">
      <c r="A11" s="6" t="s">
        <v>288</v>
      </c>
      <c r="B11" s="43" t="n">
        <f aca="false">'DCF Model'!$C$28</f>
        <v>28.8545231760739</v>
      </c>
      <c r="C11" s="32" t="n">
        <f aca="false">B11/B5-1</f>
        <v>-0.337287019382777</v>
      </c>
      <c r="D11" s="16" t="n">
        <v>0.25</v>
      </c>
      <c r="E11" s="42" t="n">
        <f aca="false">B11*D11</f>
        <v>7.21363079401848</v>
      </c>
      <c r="F11" s="38" t="s">
        <v>289</v>
      </c>
    </row>
    <row r="12" customFormat="false" ht="27.75" hidden="false" customHeight="true" outlineLevel="0" collapsed="false">
      <c r="A12" s="44" t="s">
        <v>290</v>
      </c>
      <c r="B12" s="43" t="n">
        <f aca="false">'Relative Valuation'!$B$26</f>
        <v>164.667253315922</v>
      </c>
      <c r="C12" s="32" t="n">
        <f aca="false">B12/B5-1</f>
        <v>2.78197641975015</v>
      </c>
      <c r="D12" s="16" t="n">
        <v>0.2</v>
      </c>
      <c r="E12" s="42" t="n">
        <f aca="false">B12*D12</f>
        <v>32.9334506631843</v>
      </c>
      <c r="F12" s="38" t="s">
        <v>291</v>
      </c>
    </row>
    <row r="13" customFormat="false" ht="18.75" hidden="false" customHeight="true" outlineLevel="0" collapsed="false">
      <c r="A13" s="6" t="s">
        <v>292</v>
      </c>
      <c r="B13" s="45" t="n">
        <f aca="false">SUM(E10:E12)</f>
        <v>50.5227248031781</v>
      </c>
      <c r="C13" s="46" t="n">
        <f aca="false">B13/B5-1</f>
        <v>0.16037493806105</v>
      </c>
      <c r="D13" s="46" t="n">
        <f aca="false">SUM(D10:D12)</f>
        <v>1</v>
      </c>
      <c r="F13" s="38" t="s">
        <v>293</v>
      </c>
    </row>
    <row r="15" customFormat="false" ht="15" hidden="false" customHeight="true" outlineLevel="0" collapsed="false">
      <c r="A15" s="5" t="s">
        <v>294</v>
      </c>
      <c r="B15" s="5"/>
      <c r="C15" s="5"/>
      <c r="D15" s="5"/>
      <c r="E15" s="5"/>
      <c r="F15" s="5"/>
    </row>
    <row r="16" customFormat="false" ht="39.75" hidden="false" customHeight="true" outlineLevel="0" collapsed="false">
      <c r="A16" s="20" t="s">
        <v>295</v>
      </c>
    </row>
    <row r="17" customFormat="false" ht="15" hidden="false" customHeight="true" outlineLevel="0" collapsed="false">
      <c r="A17" s="13" t="s">
        <v>255</v>
      </c>
      <c r="B17" s="13" t="s">
        <v>296</v>
      </c>
      <c r="C17" s="13" t="s">
        <v>297</v>
      </c>
      <c r="D17" s="13" t="s">
        <v>136</v>
      </c>
    </row>
    <row r="18" customFormat="false" ht="63.75" hidden="false" customHeight="true" outlineLevel="0" collapsed="false">
      <c r="A18" s="14" t="s">
        <v>298</v>
      </c>
      <c r="B18" s="18"/>
      <c r="C18" s="18"/>
      <c r="D18" s="38" t="s">
        <v>299</v>
      </c>
    </row>
    <row r="19" customFormat="false" ht="63.75" hidden="false" customHeight="true" outlineLevel="0" collapsed="false">
      <c r="A19" s="14" t="s">
        <v>300</v>
      </c>
      <c r="B19" s="18"/>
      <c r="C19" s="18"/>
      <c r="D19" s="38" t="s">
        <v>299</v>
      </c>
    </row>
    <row r="20" customFormat="false" ht="63.75" hidden="false" customHeight="true" outlineLevel="0" collapsed="false">
      <c r="A20" s="14" t="s">
        <v>301</v>
      </c>
      <c r="B20" s="18"/>
      <c r="C20" s="18"/>
      <c r="D20" s="38" t="s">
        <v>299</v>
      </c>
    </row>
    <row r="22" customFormat="false" ht="15" hidden="false" customHeight="true" outlineLevel="0" collapsed="false">
      <c r="A22" s="5" t="s">
        <v>302</v>
      </c>
      <c r="B22" s="5"/>
      <c r="C22" s="5"/>
      <c r="D22" s="5"/>
      <c r="E22" s="5"/>
      <c r="F22" s="5"/>
    </row>
    <row r="23" customFormat="false" ht="30" hidden="false" customHeight="true" outlineLevel="0" collapsed="false">
      <c r="A23" s="9" t="s">
        <v>303</v>
      </c>
      <c r="B23" s="9"/>
      <c r="C23" s="9"/>
      <c r="D23" s="9"/>
      <c r="E23" s="9"/>
      <c r="F23" s="9"/>
    </row>
    <row r="24" customFormat="false" ht="30" hidden="false" customHeight="true" outlineLevel="0" collapsed="false">
      <c r="A24" s="9" t="s">
        <v>304</v>
      </c>
      <c r="B24" s="9"/>
      <c r="C24" s="9"/>
      <c r="D24" s="9"/>
      <c r="E24" s="9"/>
      <c r="F24" s="9"/>
    </row>
    <row r="25" customFormat="false" ht="30" hidden="false" customHeight="true" outlineLevel="0" collapsed="false">
      <c r="A25" s="9" t="s">
        <v>305</v>
      </c>
      <c r="B25" s="9"/>
      <c r="C25" s="9"/>
      <c r="D25" s="9"/>
      <c r="E25" s="9"/>
      <c r="F25" s="9"/>
    </row>
    <row r="26" customFormat="false" ht="30" hidden="false" customHeight="true" outlineLevel="0" collapsed="false">
      <c r="A26" s="9" t="s">
        <v>306</v>
      </c>
      <c r="B26" s="9"/>
      <c r="C26" s="9"/>
      <c r="D26" s="9"/>
      <c r="E26" s="9"/>
      <c r="F26" s="9"/>
    </row>
    <row r="27" customFormat="false" ht="30" hidden="false" customHeight="true" outlineLevel="0" collapsed="false">
      <c r="A27" s="9" t="s">
        <v>307</v>
      </c>
      <c r="B27" s="9"/>
      <c r="C27" s="9"/>
      <c r="D27" s="9"/>
      <c r="E27" s="9"/>
      <c r="F27" s="9"/>
    </row>
    <row r="28" customFormat="false" ht="30" hidden="false" customHeight="true" outlineLevel="0" collapsed="false">
      <c r="A28" s="9" t="s">
        <v>308</v>
      </c>
      <c r="B28" s="9"/>
      <c r="C28" s="9"/>
      <c r="D28" s="9"/>
      <c r="E28" s="9"/>
      <c r="F28" s="9"/>
    </row>
  </sheetData>
  <mergeCells count="13">
    <mergeCell ref="A1:F1"/>
    <mergeCell ref="A2:F2"/>
    <mergeCell ref="A4:F4"/>
    <mergeCell ref="C6:F6"/>
    <mergeCell ref="A8:F8"/>
    <mergeCell ref="A15:F15"/>
    <mergeCell ref="A22:F22"/>
    <mergeCell ref="A23:F23"/>
    <mergeCell ref="A24:F24"/>
    <mergeCell ref="A25:F25"/>
    <mergeCell ref="A26:F26"/>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5"/>
    <col collapsed="false" customWidth="true" hidden="false" outlineLevel="0" max="2" min="2" style="1" width="70"/>
  </cols>
  <sheetData>
    <row r="1" customFormat="false" ht="27.75" hidden="false" customHeight="true" outlineLevel="0" collapsed="false">
      <c r="A1" s="2" t="s">
        <v>309</v>
      </c>
      <c r="B1" s="2"/>
    </row>
    <row r="3" customFormat="false" ht="15" hidden="false" customHeight="true" outlineLevel="0" collapsed="false">
      <c r="A3" s="5" t="s">
        <v>310</v>
      </c>
      <c r="B3" s="5"/>
    </row>
    <row r="4" customFormat="false" ht="25.5" hidden="false" customHeight="true" outlineLevel="0" collapsed="false">
      <c r="A4" s="9" t="s">
        <v>311</v>
      </c>
      <c r="B4" s="9"/>
    </row>
    <row r="5" customFormat="false" ht="25.5" hidden="false" customHeight="true" outlineLevel="0" collapsed="false">
      <c r="A5" s="9" t="s">
        <v>312</v>
      </c>
      <c r="B5" s="9"/>
    </row>
    <row r="6" customFormat="false" ht="25.5" hidden="false" customHeight="true" outlineLevel="0" collapsed="false">
      <c r="A6" s="9" t="s">
        <v>313</v>
      </c>
      <c r="B6" s="9"/>
    </row>
    <row r="7" customFormat="false" ht="25.5" hidden="false" customHeight="true" outlineLevel="0" collapsed="false">
      <c r="A7" s="9" t="s">
        <v>314</v>
      </c>
      <c r="B7" s="9"/>
    </row>
    <row r="8" customFormat="false" ht="25.5" hidden="false" customHeight="true" outlineLevel="0" collapsed="false">
      <c r="A8" s="9" t="s">
        <v>315</v>
      </c>
      <c r="B8" s="9"/>
    </row>
    <row r="9" customFormat="false" ht="25.5" hidden="false" customHeight="true" outlineLevel="0" collapsed="false">
      <c r="A9" s="9" t="s">
        <v>316</v>
      </c>
      <c r="B9" s="9"/>
    </row>
    <row r="10" customFormat="false" ht="25.5" hidden="false" customHeight="true" outlineLevel="0" collapsed="false">
      <c r="A10" s="9" t="s">
        <v>317</v>
      </c>
      <c r="B10" s="9"/>
    </row>
    <row r="11" customFormat="false" ht="25.5" hidden="false" customHeight="true" outlineLevel="0" collapsed="false">
      <c r="A11" s="9" t="s">
        <v>318</v>
      </c>
      <c r="B11" s="9"/>
    </row>
    <row r="12" customFormat="false" ht="25.5" hidden="false" customHeight="true" outlineLevel="0" collapsed="false">
      <c r="A12" s="9" t="s">
        <v>319</v>
      </c>
      <c r="B12" s="9"/>
    </row>
    <row r="13" customFormat="false" ht="25.5" hidden="false" customHeight="true" outlineLevel="0" collapsed="false">
      <c r="A13" s="9" t="s">
        <v>320</v>
      </c>
      <c r="B13" s="9"/>
    </row>
    <row r="14" customFormat="false" ht="25.5" hidden="false" customHeight="true" outlineLevel="0" collapsed="false">
      <c r="A14" s="9" t="s">
        <v>321</v>
      </c>
      <c r="B14" s="9"/>
    </row>
    <row r="16" customFormat="false" ht="15" hidden="false" customHeight="true" outlineLevel="0" collapsed="false">
      <c r="A16" s="5" t="s">
        <v>322</v>
      </c>
      <c r="B16" s="5"/>
    </row>
    <row r="17" customFormat="false" ht="33.75" hidden="false" customHeight="true" outlineLevel="0" collapsed="false">
      <c r="A17" s="9" t="s">
        <v>323</v>
      </c>
      <c r="B17" s="9"/>
    </row>
    <row r="18" customFormat="false" ht="33.75" hidden="false" customHeight="true" outlineLevel="0" collapsed="false">
      <c r="A18" s="9" t="s">
        <v>324</v>
      </c>
      <c r="B18" s="9"/>
    </row>
    <row r="19" customFormat="false" ht="33.75" hidden="false" customHeight="true" outlineLevel="0" collapsed="false">
      <c r="A19" s="9" t="s">
        <v>325</v>
      </c>
      <c r="B19" s="9"/>
    </row>
    <row r="20" customFormat="false" ht="33.75" hidden="false" customHeight="true" outlineLevel="0" collapsed="false">
      <c r="A20" s="9" t="s">
        <v>326</v>
      </c>
      <c r="B20" s="9"/>
    </row>
    <row r="22" customFormat="false" ht="15" hidden="false" customHeight="true" outlineLevel="0" collapsed="false">
      <c r="A22" s="5" t="s">
        <v>327</v>
      </c>
      <c r="B22" s="5"/>
    </row>
    <row r="23" customFormat="false" ht="69.75" hidden="false" customHeight="true" outlineLevel="0" collapsed="false">
      <c r="A23" s="9" t="s">
        <v>328</v>
      </c>
      <c r="B23" s="9"/>
    </row>
  </sheetData>
  <mergeCells count="20">
    <mergeCell ref="A1:B1"/>
    <mergeCell ref="A3:B3"/>
    <mergeCell ref="A4:B4"/>
    <mergeCell ref="A5:B5"/>
    <mergeCell ref="A6:B6"/>
    <mergeCell ref="A7:B7"/>
    <mergeCell ref="A8:B8"/>
    <mergeCell ref="A9:B9"/>
    <mergeCell ref="A10:B10"/>
    <mergeCell ref="A11:B11"/>
    <mergeCell ref="A12:B12"/>
    <mergeCell ref="A13:B13"/>
    <mergeCell ref="A14:B14"/>
    <mergeCell ref="A16:B16"/>
    <mergeCell ref="A17:B17"/>
    <mergeCell ref="A18:B18"/>
    <mergeCell ref="A19:B19"/>
    <mergeCell ref="A20:B20"/>
    <mergeCell ref="A22:B22"/>
    <mergeCell ref="A23:B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2026-07-18T06:32:22Z</dcterms:created>
  <dc:creator>openpyxl</dc:creator>
  <dc:description/>
  <dc:language>en-US</dc:language>
  <cp:lastModifiedBy/>
  <dcterms:modified xsi:type="dcterms:W3CDTF">2026-07-20T13:18:52Z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