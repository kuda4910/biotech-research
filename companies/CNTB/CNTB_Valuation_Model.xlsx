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Assumptions" sheetId="1" state="visible" r:id="rId3"/>
    <sheet name="Balance Sheet &amp; Cash Runway" sheetId="2" state="visible" r:id="rId4"/>
    <sheet name="rNPV Model" sheetId="3" state="visible" r:id="rId5"/>
    <sheet name="DCF Model" sheetId="4" state="visible" r:id="rId6"/>
    <sheet name="Relative Valuation" sheetId="5" state="visible" r:id="rId7"/>
    <sheet name="Price Target 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<sst xmlns="http://schemas.openxmlformats.org/spreadsheetml/2006/main" count="296" uniqueCount="274">
  <si>
    <t xml:space="preserve">Connect Biopharma Holdings Limited (NASDAQ: CNTB)</t>
  </si>
  <si>
    <t xml:space="preserve">Rademikibart (anti-IL-4Rα mAb) — Acute Exacerbations of Asthma &amp; COPD | Working Valuation &amp; Diligence File</t>
  </si>
  <si>
    <t xml:space="preserve">Prepared as an ongoing analyst working file. All figures in USD unless noted. Blue = input/hardcode. Black = formula. Green = link to another tab.</t>
  </si>
  <si>
    <t xml:space="preserve">Data as-of date:</t>
  </si>
  <si>
    <t xml:space="preserve">1-Jul-2026 (price/mkt data); 31-Mar-2026 (balance sheet, 10-Q)</t>
  </si>
  <si>
    <t xml:space="preserve">Ticker / Exchange:</t>
  </si>
  <si>
    <t xml:space="preserve">CNTB / Nasdaq Global Market</t>
  </si>
  <si>
    <t xml:space="preserve">Lead asset:</t>
  </si>
  <si>
    <t xml:space="preserve">Rademikibart (anti-IL-4Rα mAb)</t>
  </si>
  <si>
    <t xml:space="preserve">Current Share Price ($)</t>
  </si>
  <si>
    <t xml:space="preserve">Source: StockAnalysis.com / Morningstar, intraday ~$2.35-2.45 late Jun/1-Jul 2026. Stock is highly volatile (52-wk range $1.23-$3.82) — UPDATE before relying on this file.</t>
  </si>
  <si>
    <t xml:space="preserve">Shares Outstanding, basic (mm)</t>
  </si>
  <si>
    <t xml:space="preserve">CORRECTED to the exact figure on the 10-Q balance sheet: 62,711,690 ordinary shares issued and outstanding as of 31-Mar-2026 (vs. 56,442,308 at 31-Dec-2025). Source: cntb-20260331.html.</t>
  </si>
  <si>
    <t xml:space="preserve">Est. Fully-Diluted Shares (mm)</t>
  </si>
  <si>
    <t xml:space="preserve">RESOLVED from the actual 10-Q (Note on Net Loss per Share, anti-dilutive securities table): 15,167,637 stock options outstanding (weighted-avg exercise price $2.08 - meaningfully in-the-money at the current ~$2.40 share price) plus 600,000 employee stock purchase plan rights, on top of 62.7117mm basic shares = ~78.48mm on a simple if-exercised gross basis (62.7117 + 15.1676 + 0.60). Note this is a gross, not treasury-method-reduced, fully-diluted count - the treasury-stock-method diluted EPS count would be lower because option-exercise proceeds would notionally repurchase some shares, but for valuation (not EPS) purposes the gross if-exercised count is the more standard convention. Source: cntb-20260331.html, Note on Net Loss per Share.</t>
  </si>
  <si>
    <t xml:space="preserve">Market Cap, basic ($mm)</t>
  </si>
  <si>
    <t xml:space="preserve">52-Week Range ($)</t>
  </si>
  <si>
    <t xml:space="preserve">1.23 - 3.82</t>
  </si>
  <si>
    <t xml:space="preserve">Cash, Equiv. &amp; ST Investments ($mm)</t>
  </si>
  <si>
    <t xml:space="preserve">Total Debt ($mm)</t>
  </si>
  <si>
    <t xml:space="preserve">Enterprise Value, basic shares ($mm)</t>
  </si>
  <si>
    <t xml:space="preserve">EV is negative at the current price/cash level — a common feature of clinical-stage biotech trading near or below net cash, and worth flagging as either deep value or a market signal on program risk.</t>
  </si>
  <si>
    <t xml:space="preserve">PROGRAM STATUS &amp; PIPELINE</t>
  </si>
  <si>
    <t xml:space="preserve">Program 1 — US/global:</t>
  </si>
  <si>
    <t xml:space="preserve">Ph2 SEABREEZE STAT Asthma (n=160, acute exacerbations, EOS≥300); enrollment complete 17-Jun-2026; primary endpoint = 28-day treatment-failure rate; key secondary = post-BD FEV1 at Wk1.</t>
  </si>
  <si>
    <t xml:space="preserve">Topline expected early Sept 2026 (company guidance, 17-Jun-2026 PR).</t>
  </si>
  <si>
    <t xml:space="preserve">Program 2 — US/global:</t>
  </si>
  <si>
    <t xml:space="preserve">Ph2 SEABREEZE STAT COPD (n=160, acute exacerbations, EOS≥300); enrollment substantially complete ~Jun 2026.</t>
  </si>
  <si>
    <t xml:space="preserve">Topline expected shortly after Asthma readout — company has not given a firm date; we ESTIMATE Q4 2026.</t>
  </si>
  <si>
    <t xml:space="preserve">Supportive data:</t>
  </si>
  <si>
    <t xml:space="preserve">Prior global Ph2 chronic moderate-to-severe asthma trial (positive, published AJRCCM) + Ph1 IV rademikibart (rapid FEV1 improvement within 24h, sustained through ~4 wks).</t>
  </si>
  <si>
    <t xml:space="preserve">Completed; de-risks mechanism, not the acute-exacerbation endpoint specifically.</t>
  </si>
  <si>
    <t xml:space="preserve">China (Simcere license):</t>
  </si>
  <si>
    <t xml:space="preserve">Simcere holds exclusive Greater-China rights to rademikibart, all indications (signed 21-Nov-2023). Deal economics per the actual Q1'26 10-Q: $21mm upfront (2023); total milestones originally up to $123mm; $5mm received in 2024; ~$8mm LAPSED in 2025 (a time-based milestone Simcere missed the deadline for - a real, already-materialized execution-risk event, not a hypothetical); $110mm remaining eligible milestones; tiered low-double-digit royalties on Greater China net sales for ~12 years post-commercialization. China Ph3 AD trial met all endpoints; NDA submitted to China's regulator.</t>
  </si>
  <si>
    <t xml:space="preserve">UPDATED with exact figures from cntb-20260331.html (10-Q Note 8, License and Collaboration Agreement) - materially more precise and complete than our original secondary-source summary, and importantly reveals the $8mm lapsed milestone as a real precedent for Simcere-side execution risk.</t>
  </si>
  <si>
    <t xml:space="preserve">DMC interim review:</t>
  </si>
  <si>
    <t xml:space="preserve">Independent DMC completed pre-specified interim efficacy review of both SEABREEZE STAT studies (23-Apr-2026): no safety concerns, no change to sample size recommended.</t>
  </si>
  <si>
    <t xml:space="preserve">Positive procedural signal; not a read on efficacy magnitude.</t>
  </si>
  <si>
    <t xml:space="preserve">KEY UPCOMING CATALYSTS / DATES</t>
  </si>
  <si>
    <t xml:space="preserve">Q2 2026 earnings</t>
  </si>
  <si>
    <t xml:space="preserve">12-Aug-2026</t>
  </si>
  <si>
    <t xml:space="preserve">Confirmed (StockAnalysis.com earnings calendar).</t>
  </si>
  <si>
    <t xml:space="preserve">SEABREEZE STAT Asthma topline</t>
  </si>
  <si>
    <t xml:space="preserve">Early Sept 2026</t>
  </si>
  <si>
    <t xml:space="preserve">Company guidance, 17-Jun-2026 press release.</t>
  </si>
  <si>
    <t xml:space="preserve">SEABREEZE STAT COPD topline</t>
  </si>
  <si>
    <t xml:space="preserve">Q4 2026 (EST.)</t>
  </si>
  <si>
    <t xml:space="preserve">ESTIMATE — company says 'shortly after' asthma; no firm date given.</t>
  </si>
  <si>
    <t xml:space="preserve">FDA Phase 3 alignment meeting</t>
  </si>
  <si>
    <t xml:space="preserve">H2 2026 / H1 2027 (EST.)</t>
  </si>
  <si>
    <t xml:space="preserve">ESTIMATE — company states intent to 'move quickly' post-data; no confirmed date.</t>
  </si>
  <si>
    <t xml:space="preserve">Cash runway (per management)</t>
  </si>
  <si>
    <t xml:space="preserve">Into 2H 2027</t>
  </si>
  <si>
    <t xml:space="preserve">Per Q1'26 10-Q / 8-K, based on current operating plan; excludes any new financing.</t>
  </si>
  <si>
    <t xml:space="preserve">SCENARIO SELECTOR</t>
  </si>
  <si>
    <t xml:space="preserve">Active scenario (drives every downstream tab):</t>
  </si>
  <si>
    <t xml:space="preserve">Base</t>
  </si>
  <si>
    <t xml:space="preserve">Change this cell to Low / Base / High — every assumption below, and the rNPV/DCF/relative-valuation tabs, re-flow automatically.</t>
  </si>
  <si>
    <t xml:space="preserve">MASTER ASSUMPTIONS (Low / Base / High, with Selected value flowing downstream)</t>
  </si>
  <si>
    <t xml:space="preserve">Assumption</t>
  </si>
  <si>
    <t xml:space="preserve">Low</t>
  </si>
  <si>
    <t xml:space="preserve">High</t>
  </si>
  <si>
    <t xml:space="preserve">Selected</t>
  </si>
  <si>
    <t xml:space="preserve">Source / Basis</t>
  </si>
  <si>
    <t xml:space="preserve">PoS: SEABREEZE Asthma Ph2 — positive topline</t>
  </si>
  <si>
    <t xml:space="preserve">ESTIMATE/JUDGMENT. Mechanism de-risked by validated IL-4Rα target (Dupixent), positive Ph1 IV &amp; prior chronic-asthma Ph2 (AJRCCM), and a clean DMC interim review — but the acute-exacerbation endpoint (28-day treatment failure) has not been tested for this mechanism before. Treat as a genuine binary-risk estimate, not a fact.</t>
  </si>
  <si>
    <t xml:space="preserve">PoS: Ph2(+)→US Approval, Asthma (execution+FDA risk)</t>
  </si>
  <si>
    <t xml:space="preserve">ESTIMATE. Reflects typical Ph2→approval conversion for validated-MOA respiratory biologics (industry base rates for Ph2 immunology assets run ~30-55%).</t>
  </si>
  <si>
    <t xml:space="preserve">PoS: US Approval, COPD (own binary + asthma read-through)</t>
  </si>
  <si>
    <t xml:space="preserve">ESTIMATE — COPD approval history for Th2/IL-4 biologics is mixed and slower (e.g., Dupixent's COPD approval came years after asthma, in a narrower population). We discount COPD below asthma for this reason.</t>
  </si>
  <si>
    <t xml:space="preserve">US peak eligible patients — Asthma (000s/yr)</t>
  </si>
  <si>
    <t xml:space="preserve">Bottom-up: company discloses &gt;1mm US ED visits/yr for acute asthma exacerbation; we apply ~35-55% for EOS≥300/FeNO≥25 (biomarker-eligible) and net for repeat-visit patients. GENUINE ESTIMATE — no third-party epi study cited by company.</t>
  </si>
  <si>
    <t xml:space="preserve">US peak eligible patients — COPD (000s/yr)</t>
  </si>
  <si>
    <t xml:space="preserve">Bottom-up: CDC-cited ~1.5mm annual US COPD-exacerbation hospitalizations/ED visits; ESTIMATE ~35-50% EOS≥300 eligible, netted for repeat visits.</t>
  </si>
  <si>
    <t xml:space="preserve">Net price per treated patient per year ($)</t>
  </si>
  <si>
    <t xml:space="preserve">UNKNOWN / GENUINE ESTIMATE — company has given no pricing guidance. Proxy: episodic/acute specialty-biologic pricing analogues, net of gross-to-net. This is the single largest swing factor in the model.</t>
  </si>
  <si>
    <t xml:space="preserve">Peak penetration of eligible population</t>
  </si>
  <si>
    <t xml:space="preserve">ESTIMATE. No approved biologic exists in the acute-exacerbation setting today (differentiated), but point-of-care/ED biologic administration is a novel commercial model with real adoption-curve risk.</t>
  </si>
  <si>
    <t xml:space="preserve">US launch year — Asthma</t>
  </si>
  <si>
    <t xml:space="preserve">ESTIMATE from data timing: Ph2 data Sep-2026 (Base) → ~2yr Ph3 → filing/review. High = faster path (e.g., breakthrough designation); Low = slower.</t>
  </si>
  <si>
    <t xml:space="preserve">US launch year — COPD</t>
  </si>
  <si>
    <t xml:space="preserve">ESTIMATE — assumes ~1yr behind Asthma given later Ph2 data and typically slower COPD regulatory path.</t>
  </si>
  <si>
    <t xml:space="preserve">Years from launch to peak sales</t>
  </si>
  <si>
    <t xml:space="preserve">ESTIMATE — typical biologic launch curve in a new site-of-care (ED/urgent care) commercial model.</t>
  </si>
  <si>
    <t xml:space="preserve">Loss of exclusivity year (biosimilar entry)</t>
  </si>
  <si>
    <t xml:space="preserve">ESTIMATE — based on typical biologics exclusivity (12yr BLA) plus composition-of-matter patent term; we do not have CNTB's actual patent expiry schedule from a filing — VERIFY against the 10-K IP section.</t>
  </si>
  <si>
    <t xml:space="preserve">COGS, % of net sales</t>
  </si>
  <si>
    <t xml:space="preserve">ESTIMATE — typical mAb manufacturing cost of goods at commercial scale.</t>
  </si>
  <si>
    <t xml:space="preserve">Peak SG&amp;A, % of net sales</t>
  </si>
  <si>
    <t xml:space="preserve">ESTIMATE — reflects a niche, high-touch ED/hospital commercial model rather than a broad primary-care biologic launch.</t>
  </si>
  <si>
    <t xml:space="preserve">Discount rate / WACC</t>
  </si>
  <si>
    <t xml:space="preserve">ESTIMATE — standard range for a single-asset, pre-revenue (ex-China) clinical biotech; Low scenario uses the higher discount rate (more conservative).</t>
  </si>
  <si>
    <t xml:space="preserve">China milestone realization (% of $110mm, PV-weighted)</t>
  </si>
  <si>
    <t xml:space="preserve">REVISED DOWN slightly from our original 20/35/50% placeholder now that the 10-Q confirms one $8mm time-based milestone already lapsed in 2025 (missed by Simcere) out of the original $123mm pool - real evidence that milestone timing/achievement is not automatic. ESTIMATE of probability/timing-weighted realization of the REMAINING ~$110mm, given AD NDA is filed but commercial/regulatory milestones remain contingent on Simcere's execution, which CNTB does not control.</t>
  </si>
  <si>
    <t xml:space="preserve">China royalty NPV ($mm, risk-adjusted, standalone)</t>
  </si>
  <si>
    <t xml:space="preserve">ESTIMATE — rough risk-adjusted NPV of low-double-digit royalties on Simcere's Greater China rademikibart sales (AD + potential future indications). We do not have Simcere's internal sales forecasts; this is a placeholder order-of-magnitude, not a bottom-up China epi model.</t>
  </si>
  <si>
    <t xml:space="preserve">Balance Sheet &amp; Cash Runway</t>
  </si>
  <si>
    <t xml:space="preserve">Source: Form 10-Q for the quarter ended 31-Mar-2026 (filed 12-May-2026) + 30-Mar-2026 private placement 8-K. Cash items below are the last reported balance sheet; UPDATE each quarter.</t>
  </si>
  <si>
    <t xml:space="preserve">CASH POSITION (as of 31-Mar-2026, $mm)</t>
  </si>
  <si>
    <t xml:space="preserve">Cash and cash equivalents</t>
  </si>
  <si>
    <t xml:space="preserve">CORRECTED from actual 10-Q balance sheet (period 31-Mar-2026): cash and cash equivalents = $46.034mm. Prior version of this file wrongly split a secondary source's headline '$46.0mm' figure between this line and the one below - the $46.0mm figure in press summaries is actually just this cash-and-equivalents line, not the total.</t>
  </si>
  <si>
    <t xml:space="preserve">Short-term investments</t>
  </si>
  <si>
    <t xml:space="preserve">CORRECTED from actual 10-Q balance sheet: short-term investments = $5.997mm, additive to cash and equivalents above (total liquidity $52.03mm, not $46.0mm as press summaries implied).</t>
  </si>
  <si>
    <t xml:space="preserve">Total cash, cash equivalents &amp; ST investments</t>
  </si>
  <si>
    <t xml:space="preserve">Now ties to the actual 10-Q balance sheet total: $46.034mm + $5.997mm = $52.03mm as of 31-Mar-2026 (source: cntb-20260331.html, Condensed Consolidated Balance Sheets).</t>
  </si>
  <si>
    <t xml:space="preserve">Total debt</t>
  </si>
  <si>
    <t xml:space="preserve">Company reported zero debt as of the last balance sheet (Simply Wall St / 10-Q). No covenants, tranching, or maturity schedule to disclose — capital structure is currently all-equity.</t>
  </si>
  <si>
    <t xml:space="preserve">RECENT FINANCING &amp; DILUTION</t>
  </si>
  <si>
    <t xml:space="preserve">30-Mar-2026 private placement — gross proceeds ($mm)</t>
  </si>
  <si>
    <t xml:space="preserve">6,130,000 ordinary shares at $3.25/share to new &amp; existing investors. Closed 31-Mar-2026.</t>
  </si>
  <si>
    <t xml:space="preserve">30-Mar-2026 private placement — est. net proceeds ($mm)</t>
  </si>
  <si>
    <t xml:space="preserve">Per company release; ~8% placement/legal costs implied.</t>
  </si>
  <si>
    <t xml:space="preserve">Director open-market buy, 29-May-2026 ($mm)</t>
  </si>
  <si>
    <t xml:space="preserve">Director James Huang bought 150,000 sh @ $2.48 — open-market, i.e., a real conviction signal (not options/RSU mechanics).</t>
  </si>
  <si>
    <t xml:space="preserve">Panacea Venture (largest shareholder) PIPE lead, 31-Mar-2026 ($mm)</t>
  </si>
  <si>
    <t xml:space="preserve">CORRECTED / IMPORTANT: per 10-Q Note 9 (Shareholders' Equity), this $4.0mm was NOT a generic director PIPE participation - it was purchased by Panacea Venture, described in the filing as 'the Company's largest current investor,' which LED the entire March 2026 private placement. Board member James Huang is the sole owner of Panacea Innovation Limited, which is the sole owner of Panacea Venture. This is therefore a related-party transaction: the company's largest shareholder (controlled by a sitting director) anchored its own financing round. Read this as a genuinely stronger commitment-of-capital signal than ordinary PIPE participation (the largest holder underwriting the raise), but also flag the governance question a related-party-led financing always raises (were the $3.25/share terms arm's-length; how was the transaction approved). We do not have Panacea Venture's TOTAL stake size (beyond this incremental $4.0mm) from this 10-Q - that would need a Schedule 13D/G filing, which we recommend pulling next, since Panacea Venture is arguably the single most important ownership fact in the file and was not captured in our earlier institutional-holder research.</t>
  </si>
  <si>
    <t xml:space="preserve">SHARE COUNT — BASIC VS. FULLY DILUTED</t>
  </si>
  <si>
    <t xml:space="preserve">Ordinary shares outstanding, basic (mm)</t>
  </si>
  <si>
    <t xml:space="preserve">CORRECTED to exact 10-Q figure: 62,711,690 shares as of 31-Mar-2026.</t>
  </si>
  <si>
    <t xml:space="preserve">Q1 2026 weighted-avg shares, basic &amp; diluted (mm)</t>
  </si>
  <si>
    <t xml:space="preserve">CORRECTED to exact 10-Q figure: weighted-avg basic &amp; diluted shares, three months ended 31-Mar-2026 = 56,545,000.</t>
  </si>
  <si>
    <t xml:space="preserve">Stock options outstanding (mm), wtd-avg strike $2.08</t>
  </si>
  <si>
    <t xml:space="preserve">SOURCED (was previously an unknown placeholder). Per 10-Q Note 10 (Equity Incentive Plans): 15,167,637 options outstanding at 31-Mar-2026, weighted-average exercise price $2.08 - i.e. in-the-money at the current share price, real near-term dilution risk, not a distant hypothetical. Separately, 600,000 employee stock purchase plan rights are also outstanding (anti-dilutive table). Source: cntb-20260331.html.</t>
  </si>
  <si>
    <t xml:space="preserve">BURN RATE &amp; CASH RUNWAY</t>
  </si>
  <si>
    <t xml:space="preserve">Q1 2026 R&amp;D expense ($mm)</t>
  </si>
  <si>
    <t xml:space="preserve">Source: Q1 2026 10-Q / 8-K (filed 12-May-2026). R&amp;D more than doubled y/y as SEABREEZE STAT enrollment ramped; net loss widened to $19.4mm ($0.34/sh) from $10.3mm ($0.19/sh) in Q1 2025.</t>
  </si>
  <si>
    <t xml:space="preserve">Q1 2026 G&amp;A expense ($mm)</t>
  </si>
  <si>
    <t xml:space="preserve">Q1 2026 license/collaboration revenue ($mm)</t>
  </si>
  <si>
    <t xml:space="preserve">Q1 2026 net loss ($mm)</t>
  </si>
  <si>
    <t xml:space="preserve">Exact 10-Q figure: net loss $19,398 thousand = $19.398mm ($0.34/share), vs. $10,272 thousand ($0.19/share) in Q1 2025. Includes $48K income tax expense.</t>
  </si>
  <si>
    <t xml:space="preserve">Q1 2026 operating cash outflow ($mm)</t>
  </si>
  <si>
    <t xml:space="preserve">Assumed steady-state quarterly cash burn, next 12mo ($mm)</t>
  </si>
  <si>
    <t xml:space="preserve">ESTIMATE: Q1'26 actual op. cash outflow +5%, reflecting COPD enrollment completion and ramp toward two Ph2 data readouts. Update once Q2 2026 10-Q (due ~12-Aug-2026) is out.</t>
  </si>
  <si>
    <t xml:space="preserve">Implied quarters of runway from current cash</t>
  </si>
  <si>
    <t xml:space="preserve">Implied runway exhaustion (quarter-end basis)</t>
  </si>
  <si>
    <t xml:space="preserve">UPDATED: the 10-Q's formal Liquidity &amp; Going Concern note (Note 2) only commits to cash being sufficient for 'at least one year from the date this Quarterly Report is filed' - filed 12-May-2026, i.e. through at least ~12-May-2027. The looser 'into 2H 2027' framing comes from press-release/8-K language, not this more conservative formal disclosure. Treat ~May-2027 as the company's actual legal commitment and '2H 2027' as aspirational guidance on top of it.</t>
  </si>
  <si>
    <t xml:space="preserve">FINANCING NEED / DILUTION RISK FLAG</t>
  </si>
  <si>
    <t xml:space="preserve">SEABREEZE STAT data (Sept 2026) precedes the low end of the mechanical runway estimate. If both readouts are positive, CNTB will almost certainly need to raise capital to fund a Phase 3 program — likely via a follow-on equity raise, a royalty/synthetic-royalty deal (as Apogee Therapeutics did with AbbVie/undisclosed lender), or a Simcere-style ex-China licensing deal. Any of these is dilutive or cash-flow-negative in the near term and should be modeled explicitly once terms are known — none are in this file yet.</t>
  </si>
  <si>
    <t xml:space="preserve">rNPV Model — Rademikibart, Acute Exacerbations of Asthma &amp; COPD</t>
  </si>
  <si>
    <t xml:space="preserve">Bottom-up, epidemiology-driven, probability-of-success risk-adjusted. This should be the most conservative, defensible number in the file — every unrisked dollar here is explicitly discounted by the odds of getting there.</t>
  </si>
  <si>
    <t xml:space="preserve">Fiscal Year</t>
  </si>
  <si>
    <t xml:space="preserve">PROGRAM 1 — ACUTE EXACERBATIONS OF ASTHMA (US)</t>
  </si>
  <si>
    <t xml:space="preserve">Years since launch</t>
  </si>
  <si>
    <t xml:space="preserve">Penetration of eligible population</t>
  </si>
  <si>
    <t xml:space="preserve">Treated patients (000s)</t>
  </si>
  <si>
    <t xml:space="preserve">Unrisked US net revenue ($mm)</t>
  </si>
  <si>
    <t xml:space="preserve">COGS ($mm)</t>
  </si>
  <si>
    <t xml:space="preserve">SG&amp;A ($mm)</t>
  </si>
  <si>
    <t xml:space="preserve">Lifecycle R&amp;D ($mm, ~5% of revenue)</t>
  </si>
  <si>
    <t xml:space="preserve">Pre-launch Phase 3 program cost ($mm)</t>
  </si>
  <si>
    <t xml:space="preserve">Unrisked pre-tax cash flow ($mm)</t>
  </si>
  <si>
    <t xml:space="preserve">Effective cash tax rate</t>
  </si>
  <si>
    <t xml:space="preserve">ESTIMATE — assumes NOLs shelter income through 2033, then statutory 21% federal rate. We do not have CNTB's actual NOL balance/carryforward schedule (10-K tax footnote) — verify.</t>
  </si>
  <si>
    <t xml:space="preserve">Unrisked after-tax cash flow ($mm)</t>
  </si>
  <si>
    <t xml:space="preserve">Cumulative PoS to approval — Asthma</t>
  </si>
  <si>
    <t xml:space="preserve">Risk-adjusted after-tax cash flow ($mm)</t>
  </si>
  <si>
    <t xml:space="preserve">Discount factor</t>
  </si>
  <si>
    <t xml:space="preserve">PV of risk-adjusted cash flow ($mm)</t>
  </si>
  <si>
    <t xml:space="preserve">rNPV — Asthma program ($mm)</t>
  </si>
  <si>
    <t xml:space="preserve">PROGRAM 2 — ACUTE EXACERBATIONS OF COPD (US)</t>
  </si>
  <si>
    <t xml:space="preserve">COPD peak penetration set at 80% of the Asthma assumption, reflecting a more crowded/skeptical prescriber base for a first-in-class acute-exacerbation biologic in COPD specifically.</t>
  </si>
  <si>
    <t xml:space="preserve">SG&amp;A ($mm, incremental — shared field force w/ Asthma)</t>
  </si>
  <si>
    <t xml:space="preserve">Incremental SG&amp;A only, at 70% of the standalone rate — COPD launches into an already-built acute-care commercial infrastructure from the Asthma launch.</t>
  </si>
  <si>
    <t xml:space="preserve">Cumulative PoS to approval — COPD</t>
  </si>
  <si>
    <t xml:space="preserve">rNPV — COPD program ($mm)</t>
  </si>
  <si>
    <t xml:space="preserve">rNPV SUMMARY &amp; PER-SHARE VALUE</t>
  </si>
  <si>
    <t xml:space="preserve">China milestones, risk/time-weighted ($mm)</t>
  </si>
  <si>
    <t xml:space="preserve">China royalty stream, risk-adjusted NPV ($mm)</t>
  </si>
  <si>
    <t xml:space="preserve">Sum of program rNPVs ($mm)</t>
  </si>
  <si>
    <t xml:space="preserve">Plus: net cash ($mm)</t>
  </si>
  <si>
    <t xml:space="preserve">Less: 24 months of further operating burn to/through data readouts ($mm)</t>
  </si>
  <si>
    <t xml:space="preserve">Conservatism check: rNPV is a going-concern value, but near-term financing dilution is real and not otherwise captured above (no future equity raise is modeled). We net out ~8 quarters of burn as a simple placeholder for the dilution/cash drag between now and Ph3 funding — remove this line if you'd rather see the undiluted rNPV and treat financing risk qualitatively.</t>
  </si>
  <si>
    <t xml:space="preserve">Total equity value ($mm)</t>
  </si>
  <si>
    <t xml:space="preserve">Fully-diluted shares (mm)</t>
  </si>
  <si>
    <t xml:space="preserve">rNPV per share ($)</t>
  </si>
  <si>
    <t xml:space="preserve">Reality check: this rNPV blends a still-binary Phase 2 readout (Sept 2026) with a full 20-year commercial forecast built on several UNKNOWN inputs (pricing, peak share, patent life). Treat the Low/Base/High spread, not the Base point estimate, as the honest output of this tab.</t>
  </si>
  <si>
    <t xml:space="preserve">DCF Model — Unrisked "If It Succeeds" Ceiling Case</t>
  </si>
  <si>
    <t xml:space="preserve">THIS IS THE CEILING CASE, NOT THE BASE CASE. It assumes both Phase 2 programs succeed and convert to approval with certainty (100% PoS) — it strips out the binary clinical/regulatory risk-adjustment that the rNPV tab applies, but keeps the same underlying operating engine (same patient counts, pricing, cost structure, launch timing selected on the Cover tab). Use it to see what CNTB is worth if the science works, not as a probability-weighted target.</t>
  </si>
  <si>
    <t xml:space="preserve">UNRISKED OPERATING CASH FLOW (linked from rNPV Model tab — same engine, no PoS haircut)</t>
  </si>
  <si>
    <t xml:space="preserve">Unrisked after-tax cash flow — Asthma ($mm)</t>
  </si>
  <si>
    <t xml:space="preserve">Unrisked after-tax cash flow — COPD ($mm)</t>
  </si>
  <si>
    <t xml:space="preserve">Total unrisked after-tax cash flow ($mm)</t>
  </si>
  <si>
    <t xml:space="preserve">Discount factor (mid-year convention, @ selected WACC)</t>
  </si>
  <si>
    <t xml:space="preserve">PV of unrisked cash flow ($mm)</t>
  </si>
  <si>
    <t xml:space="preserve">Sum of PV, explicit period 2026-2045 ($mm)</t>
  </si>
  <si>
    <t xml:space="preserve">TERMINAL VALUE</t>
  </si>
  <si>
    <t xml:space="preserve">Terminal-year (2045) post-LOE steady-state cash flow ($mm)</t>
  </si>
  <si>
    <t xml:space="preserve">By 2045 both programs are well past the modeled loss-of-exclusivity year in every scenario, so this is already a genericized/eroded residual (~15% of peak), not peak-year cash flow — using peak-year cash flow here would materially overstate the terminal value.</t>
  </si>
  <si>
    <t xml:space="preserve">Terminal growth rate</t>
  </si>
  <si>
    <t xml:space="preserve">Set to 0% — a mature, off-patent/biosimilar-eroded revenue stream should not be assumed to grow in perpetuity. This is a conservative but standard convention.</t>
  </si>
  <si>
    <t xml:space="preserve">Terminal value, undiscounted ($mm)</t>
  </si>
  <si>
    <t xml:space="preserve">PV of terminal value ($mm)</t>
  </si>
  <si>
    <t xml:space="preserve">DCF SUMMARY &amp; PER-SHARE VALUE (CEILING CASE)</t>
  </si>
  <si>
    <t xml:space="preserve">Sum of PV, explicit period ($mm)</t>
  </si>
  <si>
    <t xml:space="preserve">China milestones, unrisked, discounted @ 50% PV credit ($mm)</t>
  </si>
  <si>
    <t xml:space="preserve">Ceiling-case treatment: assumes half of the $110mm remaining Simcere milestones land, discounted for timing but not for Simcere-execution risk (which the rNPV tab already prices in separately).</t>
  </si>
  <si>
    <t xml:space="preserve">China royalty stream, unrisked NPV ($mm)</t>
  </si>
  <si>
    <t xml:space="preserve">Ceiling case: 2x the risk-adjusted China royalty NPV used in the rNPV tab, as a simple proxy for removing most (not all) of the discount applied there.</t>
  </si>
  <si>
    <t xml:space="preserve">Enterprise value, DCF ceiling case ($mm)</t>
  </si>
  <si>
    <t xml:space="preserve">Total equity value, DCF ceiling case ($mm)</t>
  </si>
  <si>
    <t xml:space="preserve">DCF value per share — CEILING CASE ($)</t>
  </si>
  <si>
    <t xml:space="preserve">This ceiling case is the upside scenario a bull would cite if SEABREEZE data are clean and rademikibart becomes the first biologic approved for acute asthma/COPD exacerbations. It is not risk-adjusted for the still-open Phase 2 binary event in September/Q4 2026, and should never be quoted as a price target on its own — pair it with the rNPV tab's Low/Base/High.</t>
  </si>
  <si>
    <t xml:space="preserve">Relative Valuation — EV / Risk-Adjusted Peak Sales</t>
  </si>
  <si>
    <t xml:space="preserve">Genuine peer set for a single-asset, Phase 2, respiratory/T2-inflammation biotech is thin — most direct comps have either been acquired or are far more advanced. We use one active public peer (Upstream Bio) for a market-derived multiple, and two precedent transactions as sanity checks, not as the primary multiple source.</t>
  </si>
  <si>
    <t xml:space="preserve">PEER SCREEN &amp; INCLUSION/EXCLUSION LOGIC</t>
  </si>
  <si>
    <t xml:space="preserve">Upstream Bio (UPB)</t>
  </si>
  <si>
    <t xml:space="preserve">INCLUDED — primary multiple source</t>
  </si>
  <si>
    <t xml:space="preserve">Single-asset (verekitug, TSLP-receptor antagonist), Phase 2/3, severe asthma + CRSwNP + COPD. Directly comparable stage/business model: pre-revenue, single-mechanism, T2-respiratory biologic, similarly exposed to one binary readout at a time (UPB fell ~47% on its own Phase 2 VALIANT asthma miss in Feb 2026 — a useful real-world illustration of CNTB's own Sept-2026 risk).</t>
  </si>
  <si>
    <t xml:space="preserve">Aiolos Bio / GSK</t>
  </si>
  <si>
    <t xml:space="preserve">REFERENCE ONLY — precedent transaction, not a multiple</t>
  </si>
  <si>
    <t xml:space="preserve">GSK acquired Aiolos (Phase 2-ready TSLP mAb, asthma-only, Jan-2024) for $1.0bn upfront + up to $400mm in milestones. This is a control/M&amp;A price, not a market-trading multiple, and covers a single indication (asthma) vs. CNTB's two (asthma+COPD) — used below only as a directional sanity check, not blended into the multiple.</t>
  </si>
  <si>
    <t xml:space="preserve">Apogee Therapeutics / AbbVie</t>
  </si>
  <si>
    <t xml:space="preserve">EXCLUDED from multiple</t>
  </si>
  <si>
    <t xml:space="preserve">AbbVie's ~$10.9bn acquisition (2026) is real and topical, but Apogee is a multi-asset platform (zumilokibart in AD/asthma/EoE + APG222 + more) with an $800mm synthetic-royalty and $500mm debt facility already in place and cash into 2029 — a materially larger, more advanced, more de-risked company. Applying its scale of multiple to a single Phase-2 asset like CNTB would be a scale artifact, not a valid read-across. Mentioned only as evidence that large pharma has active, recent appetite for the IL-4/IL-13/T2 respiratory space.</t>
  </si>
  <si>
    <t xml:space="preserve">PEER 1 — UPSTREAM BIO (UPB): MULTIPLE DERIVATION</t>
  </si>
  <si>
    <t xml:space="preserve">UPB enterprise value ($mm)</t>
  </si>
  <si>
    <t xml:space="preserve">Seeking Alpha initiation (30-May-2026) cites UPB trading at 'an enterprise value under $200M' following the post-VALIANT-data selloff; we use $190mm as a point estimate. VERIFY against a current 10-Q cash balance and market cap before relying on this.</t>
  </si>
  <si>
    <t xml:space="preserve">UPB risk-adjusted peak WW sales estimate ($mm, 2035)</t>
  </si>
  <si>
    <t xml:space="preserve">Mizuho equity research (17-Dec-2025): '$2.7 billion in risk-adjusted worldwide sales by 2035' for verekitug across asthma + CRSwNP + COPD combined. This is already probability-weighted, not an unrisked peak-sales figure — important for how we apply the resulting multiple below.</t>
  </si>
  <si>
    <t xml:space="preserve">Implied EV / risk-adjusted peak sales multiple</t>
  </si>
  <si>
    <t xml:space="preserve">Note the basis: this multiple is EV per dollar of RISK-ADJUSTED (already probability-weighted) peak sales — not unrisked peak sales. We must apply it to CNTB's risk-adjusted peak sales figure below, not the unrisked one, or we would be double- or under-counting clinical risk (a 'share-count artifact' -style error in the other direction).</t>
  </si>
  <si>
    <t xml:space="preserve">CNTB — RISK-ADJUSTED PEAK SALES (SAME BASIS AS THE PEER MULTIPLE)</t>
  </si>
  <si>
    <t xml:space="preserve">Peak unrisked US net revenue — Asthma ($mm)</t>
  </si>
  <si>
    <t xml:space="preserve">Peak unrisked US net revenue — COPD ($mm)</t>
  </si>
  <si>
    <t xml:space="preserve">Combined PoS to approval — Asthma</t>
  </si>
  <si>
    <t xml:space="preserve">Combined PoS to approval — COPD</t>
  </si>
  <si>
    <t xml:space="preserve">CNTB risk-adjusted peak sales ($mm)</t>
  </si>
  <si>
    <t xml:space="preserve">IMPLIED VALUE — EV / PEAK-SALES METHOD</t>
  </si>
  <si>
    <t xml:space="preserve">Implied CNTB enterprise value ($mm)</t>
  </si>
  <si>
    <t xml:space="preserve">Implied CNTB equity value ($mm)</t>
  </si>
  <si>
    <t xml:space="preserve">Relative valuation — value per share ($)</t>
  </si>
  <si>
    <t xml:space="preserve">PRECEDENT TRANSACTION SANITY CHECKS (not used in the multiple above)</t>
  </si>
  <si>
    <t xml:space="preserve">Aiolos Bio / GSK, Jan-2024</t>
  </si>
  <si>
    <t xml:space="preserve">$1.0bn upfront + up to $400mm milestones ($1.4bn total)</t>
  </si>
  <si>
    <t xml:space="preserve">Phase 2-ready, single TSLP mAb, asthma only (+ CRSwNP option). If CNTB's dual-indication (asthma+COPD), Phase-2-de-risked-by-Sept-2026 rademikibart commanded even a similar per-indication control price, that alone implies a value well above CNTB's current ~$150mm market cap — a rough upper-bound sanity check on the downside case, not a target.</t>
  </si>
  <si>
    <t xml:space="preserve">Apogee Therapeutics / AbbVie, 2026</t>
  </si>
  <si>
    <t xml:space="preserve">$10.9bn all-cash</t>
  </si>
  <si>
    <t xml:space="preserve">Confirms continued large-pharma appetite for the IL-4/IL-13/T2 space, but Apogee is a multi-program, more clinically advanced platform — not scalable down to a single-asset Phase 2 comp.</t>
  </si>
  <si>
    <t xml:space="preserve">Caution on this whole tab: with one true public peer, the 'multiple' above is a single data point, not a statistically robust market multiple — treat it as directionally informative, weight it accordingly in the blend on the Price Target Summary tab, and revisit the moment a second respiratory Phase 2 peer trades publicly or a transaction closes at a disclosed price.</t>
  </si>
  <si>
    <t xml:space="preserve">Price Target Summary</t>
  </si>
  <si>
    <t xml:space="preserve">Blends the risk-adjusted (rNPV) and relative-valuation methods with editable weights. The DCF ceiling case is shown for reference, not blended in — including an unrisked 'if it succeeds' number in a probability-weighted target would double-count upside.</t>
  </si>
  <si>
    <t xml:space="preserve">Current share price ($)</t>
  </si>
  <si>
    <t xml:space="preserve">METHOD BLEND (Base case scenario)</t>
  </si>
  <si>
    <t xml:space="preserve">Method</t>
  </si>
  <si>
    <t xml:space="preserve">Value / share ($)</t>
  </si>
  <si>
    <t xml:space="preserve">Weight</t>
  </si>
  <si>
    <t xml:space="preserve">Weighted contribution</t>
  </si>
  <si>
    <t xml:space="preserve">rNPV — bottom-up, risk-adjusted (Base)</t>
  </si>
  <si>
    <t xml:space="preserve">Relative valuation — EV / risk-adj. peak sales</t>
  </si>
  <si>
    <t xml:space="preserve">Weight check (should = 100%)</t>
  </si>
  <si>
    <t xml:space="preserve">BLENDED PRICE TARGET (Base case, ~12mo)</t>
  </si>
  <si>
    <t xml:space="preserve">Implied upside / (downside) vs. current price</t>
  </si>
  <si>
    <t xml:space="preserve">For reference, not blended:</t>
  </si>
  <si>
    <t xml:space="preserve">DCF ceiling case ("if it succeeds")</t>
  </si>
  <si>
    <t xml:space="preserve">rNPV — Low scenario</t>
  </si>
  <si>
    <t xml:space="preserve">NOTE: this cell reads the Selected-scenario rNPV output, which only reflects Low when the Cover tab's scenario selector is set to Low. It will not update independently — flip the selector to see it live.</t>
  </si>
  <si>
    <t xml:space="preserve">Street consensus target (per sell-side, Jul-2026)</t>
  </si>
  <si>
    <t xml:space="preserve">Median of 7 analysts per StockAnalysis.com (Jul-2026): Wainwright $7 (Buy), BTIG $10 (Buy), Piper Sandler $7 (Overweight), Oppenheimer $8 (Outperform), Canaccord $6 (Buy), Cantor Fitzgerald $4 (Overweight). See Sell-Side Reconciliation section of the memo.</t>
  </si>
  <si>
    <t xml:space="preserve">SENSITIVITY — WHAT MOVES THE NUMBER MOST (one input flexed at a time, rNPV Base case, $/share impact)</t>
  </si>
  <si>
    <t xml:space="preserve">Driver</t>
  </si>
  <si>
    <t xml:space="preserve">Downside flex</t>
  </si>
  <si>
    <t xml:space="preserve">Upside flex</t>
  </si>
  <si>
    <t xml:space="preserve">Notes</t>
  </si>
  <si>
    <t xml:space="preserve">Net price per treated patient (±25%)</t>
  </si>
  <si>
    <t xml:space="preserve">Largest single lever — and the one we have the least real data on. First pricing signal will likely come from post-approval payer commentary, years away; near-term, watch for any investor-day pricing hints.</t>
  </si>
  <si>
    <t xml:space="preserve">Peak penetration of eligible population (±5pp)</t>
  </si>
  <si>
    <t xml:space="preserve">Tied with price for largest impact — reflects both efficacy differentiation and how fast ED/urgent-care physicians adopt a biologic at point of acute care.</t>
  </si>
  <si>
    <t xml:space="preserve">WACC / discount rate (±2pp)</t>
  </si>
  <si>
    <t xml:space="preserve">Meaningful given the long dated (2030-32+) launch — a re-rating of biotech risk premia broadly would move this without any CNTB-specific news.</t>
  </si>
  <si>
    <t xml:space="preserve">PoS: COPD approval (±10pp)</t>
  </si>
  <si>
    <t xml:space="preserve">COPD is intentionally the higher-risk, higher-uncertainty program in this file (see Assumptions tab notes) — a COPD-specific miss or hold would show up here first.</t>
  </si>
  <si>
    <t xml:space="preserve">PoS: Asthma Phase 2 positive readout (±10pp)</t>
  </si>
  <si>
    <t xml:space="preserve">Smaller than it may look ONLY because it's partially offset by the Ph2→approval conversion probability multiplying it down regardless; the September 2026 readout itself is still the single highest-stakes near-term event — a negative readout removes the Asthma program (~$164mm of Base-case rNPV) almost entirely, not just this incremental slice.</t>
  </si>
  <si>
    <t xml:space="preserve">Read this as: holding everything else at Base, flexing ONE input by the stated amount moves rNPV/share by the amount shown (recomputed after the Q1'26 10-Q correction to fully-diluted shares and cash). Because the drivers interact (the Low/High columns on the Cover tab move several at once), the full Low-to-High spread on the rNPV tab is much wider than the sum of these one-at-a-time moves - that gap is itself the honest message: this stock's value is dominated by compounding uncertainty, not any single number.</t>
  </si>
</sst>
</file>

<file path=xl/styles.xml><?xml version="1.0" encoding="utf-8"?>
<styleSheet xmlns="http://schemas.openxmlformats.org/spreadsheetml/2006/main">
  <numFmts count="12">
    <numFmt numFmtId="164" formatCode="General"/>
    <numFmt numFmtId="165" formatCode="\$#,##0.00;&quot;($&quot;#,##0.00\);\-"/>
    <numFmt numFmtId="166" formatCode="#,##0.0;\(#,##0.0\);\-"/>
    <numFmt numFmtId="167" formatCode="\$#,##0;&quot;($&quot;#,##0\);\-"/>
    <numFmt numFmtId="168" formatCode="0.0%"/>
    <numFmt numFmtId="169" formatCode="#,##0;\(#,##0\);\-"/>
    <numFmt numFmtId="170" formatCode="0.0&quot; qtrs&quot;"/>
    <numFmt numFmtId="171" formatCode="mmm\-yyyy"/>
    <numFmt numFmtId="172" formatCode="0.000"/>
    <numFmt numFmtId="173" formatCode="0"/>
    <numFmt numFmtId="174" formatCode="0.0\x"/>
    <numFmt numFmtId="175" formatCode="&quot;+$&quot;0.00;&quot;-$&quot;0.0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i val="true"/>
      <sz val="9"/>
      <color rgb="FF808080"/>
      <name val="Arial"/>
      <family val="0"/>
      <charset val="1"/>
    </font>
    <font>
      <b val="true"/>
      <sz val="10"/>
      <name val="Arial"/>
      <family val="0"/>
      <charset val="1"/>
    </font>
    <font>
      <sz val="10"/>
      <color rgb="FF000000"/>
      <name val="Arial"/>
      <family val="0"/>
      <charset val="1"/>
    </font>
    <font>
      <sz val="10"/>
      <color rgb="FF0000FF"/>
      <name val="Arial"/>
      <family val="0"/>
      <charset val="1"/>
    </font>
    <font>
      <sz val="10"/>
      <color rgb="FFFF0000"/>
      <name val="Arial"/>
      <family val="0"/>
      <charset val="1"/>
    </font>
    <font>
      <sz val="10"/>
      <color rgb="FF008000"/>
      <name val="Arial"/>
      <family val="0"/>
      <charset val="1"/>
    </font>
    <font>
      <b val="true"/>
      <sz val="12"/>
      <color rgb="FFFFFFFF"/>
      <name val="Arial"/>
      <family val="0"/>
      <charset val="1"/>
    </font>
    <font>
      <b val="true"/>
      <sz val="10"/>
      <color rgb="FF000000"/>
      <name val="Arial"/>
      <family val="0"/>
      <charset val="1"/>
    </font>
    <font>
      <b val="true"/>
      <sz val="11"/>
      <color rgb="FFFFFFFF"/>
      <name val="Arial"/>
      <family val="0"/>
      <charset val="1"/>
    </font>
  </fonts>
  <fills count="7">
    <fill>
      <patternFill patternType="none"/>
    </fill>
    <fill>
      <patternFill patternType="gray125"/>
    </fill>
    <fill>
      <patternFill patternType="solid">
        <fgColor rgb="FFFFF2CC"/>
        <bgColor rgb="FFFFFFFF"/>
      </patternFill>
    </fill>
    <fill>
      <patternFill patternType="solid">
        <fgColor rgb="FF2E5395"/>
        <bgColor rgb="FF1F3864"/>
      </patternFill>
    </fill>
    <fill>
      <patternFill patternType="solid">
        <fgColor rgb="FFFFFF00"/>
        <bgColor rgb="FFFFFF00"/>
      </patternFill>
    </fill>
    <fill>
      <patternFill patternType="solid">
        <fgColor rgb="FF1F3864"/>
        <bgColor rgb="FF333333"/>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5" fontId="9" fillId="2"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6" fontId="9" fillId="2"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7" fontId="8" fillId="0" borderId="1" xfId="0" applyFont="true" applyBorder="true" applyAlignment="true" applyProtection="true">
      <alignment horizontal="general" vertical="bottom" textRotation="0" wrapText="false" indent="0" shrinkToFit="false"/>
      <protection locked="true" hidden="false"/>
    </xf>
    <xf numFmtId="167" fontId="11" fillId="0" borderId="1" xfId="0" applyFont="true" applyBorder="tru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9" fillId="4" borderId="1" xfId="0" applyFont="true" applyBorder="true" applyAlignment="true" applyProtection="true">
      <alignment horizontal="center" vertical="center" textRotation="0" wrapText="false" indent="0" shrinkToFit="false"/>
      <protection locked="true" hidden="false"/>
    </xf>
    <xf numFmtId="164" fontId="14" fillId="5"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8" fontId="9" fillId="2" borderId="1" xfId="0" applyFont="true" applyBorder="true" applyAlignment="true" applyProtection="true">
      <alignment horizontal="center" vertical="center" textRotation="0" wrapText="false" indent="0" shrinkToFit="false"/>
      <protection locked="true" hidden="false"/>
    </xf>
    <xf numFmtId="168" fontId="13" fillId="6" borderId="1" xfId="0" applyFont="true" applyBorder="true" applyAlignment="true" applyProtection="true">
      <alignment horizontal="center" vertical="center" textRotation="0" wrapText="false" indent="0" shrinkToFit="false"/>
      <protection locked="true" hidden="false"/>
    </xf>
    <xf numFmtId="169" fontId="9" fillId="2" borderId="1" xfId="0" applyFont="true" applyBorder="true" applyAlignment="true" applyProtection="true">
      <alignment horizontal="center" vertical="center" textRotation="0" wrapText="false" indent="0" shrinkToFit="false"/>
      <protection locked="true" hidden="false"/>
    </xf>
    <xf numFmtId="169" fontId="13" fillId="6" borderId="1" xfId="0" applyFont="true" applyBorder="true" applyAlignment="true" applyProtection="true">
      <alignment horizontal="center" vertical="center" textRotation="0" wrapText="false" indent="0" shrinkToFit="false"/>
      <protection locked="true" hidden="false"/>
    </xf>
    <xf numFmtId="167" fontId="9" fillId="2" borderId="1" xfId="0" applyFont="true" applyBorder="true" applyAlignment="true" applyProtection="true">
      <alignment horizontal="center" vertical="center" textRotation="0" wrapText="false" indent="0" shrinkToFit="false"/>
      <protection locked="true" hidden="false"/>
    </xf>
    <xf numFmtId="167" fontId="13" fillId="6" borderId="1"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7" fontId="9" fillId="2" borderId="1" xfId="0" applyFont="true" applyBorder="true" applyAlignment="true" applyProtection="true">
      <alignment horizontal="general" vertical="bottom" textRotation="0" wrapText="false" indent="0" shrinkToFit="false"/>
      <protection locked="true" hidden="false"/>
    </xf>
    <xf numFmtId="167" fontId="13" fillId="0" borderId="1" xfId="0" applyFont="true" applyBorder="true" applyAlignment="true" applyProtection="true">
      <alignment horizontal="general" vertical="bottom" textRotation="0" wrapText="false" indent="0" shrinkToFit="false"/>
      <protection locked="true" hidden="false"/>
    </xf>
    <xf numFmtId="170" fontId="8" fillId="0" borderId="1" xfId="0" applyFont="true" applyBorder="true" applyAlignment="true" applyProtection="true">
      <alignment horizontal="general" vertical="bottom" textRotation="0" wrapText="false" indent="0" shrinkToFit="false"/>
      <protection locked="true" hidden="false"/>
    </xf>
    <xf numFmtId="171" fontId="8"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9" fontId="8" fillId="0" borderId="1" xfId="0" applyFont="true" applyBorder="true" applyAlignment="true" applyProtection="true">
      <alignment horizontal="center" vertical="center" textRotation="0" wrapText="false" indent="0" shrinkToFit="false"/>
      <protection locked="true" hidden="false"/>
    </xf>
    <xf numFmtId="168" fontId="8" fillId="0" borderId="1" xfId="0" applyFont="true" applyBorder="true" applyAlignment="true" applyProtection="true">
      <alignment horizontal="center" vertical="center" textRotation="0" wrapText="false" indent="0" shrinkToFit="false"/>
      <protection locked="true" hidden="false"/>
    </xf>
    <xf numFmtId="166" fontId="8" fillId="0" borderId="1" xfId="0" applyFont="true" applyBorder="true" applyAlignment="true" applyProtection="true">
      <alignment horizontal="center" vertical="center" textRotation="0" wrapText="false" indent="0" shrinkToFit="false"/>
      <protection locked="true" hidden="false"/>
    </xf>
    <xf numFmtId="167" fontId="8" fillId="0" borderId="1" xfId="0" applyFont="true" applyBorder="true" applyAlignment="true" applyProtection="true">
      <alignment horizontal="center" vertical="center" textRotation="0" wrapText="false" indent="0" shrinkToFit="false"/>
      <protection locked="true" hidden="false"/>
    </xf>
    <xf numFmtId="167" fontId="13" fillId="0" borderId="1" xfId="0" applyFont="true" applyBorder="true" applyAlignment="true" applyProtection="true">
      <alignment horizontal="center" vertical="center" textRotation="0" wrapText="false" indent="0" shrinkToFit="false"/>
      <protection locked="true" hidden="false"/>
    </xf>
    <xf numFmtId="164" fontId="13" fillId="6" borderId="1" xfId="0" applyFont="true" applyBorder="true" applyAlignment="true" applyProtection="true">
      <alignment horizontal="general" vertical="bottom" textRotation="0" wrapText="false" indent="0" shrinkToFit="false"/>
      <protection locked="true" hidden="false"/>
    </xf>
    <xf numFmtId="172" fontId="8" fillId="0" borderId="1" xfId="0" applyFont="true" applyBorder="true" applyAlignment="true" applyProtection="true">
      <alignment horizontal="center" vertical="center" textRotation="0" wrapText="false" indent="0" shrinkToFit="false"/>
      <protection locked="true" hidden="false"/>
    </xf>
    <xf numFmtId="167" fontId="13" fillId="6" borderId="1" xfId="0" applyFont="true" applyBorder="true" applyAlignment="true" applyProtection="true">
      <alignment horizontal="general" vertical="bottom" textRotation="0" wrapText="false" indent="0" shrinkToFit="false"/>
      <protection locked="true" hidden="false"/>
    </xf>
    <xf numFmtId="166" fontId="11" fillId="0" borderId="1" xfId="0" applyFont="true" applyBorder="true" applyAlignment="true" applyProtection="true">
      <alignment horizontal="general" vertical="bottom" textRotation="0" wrapText="false" indent="0" shrinkToFit="false"/>
      <protection locked="true" hidden="false"/>
    </xf>
    <xf numFmtId="164" fontId="13" fillId="4" borderId="1" xfId="0" applyFont="true" applyBorder="true" applyAlignment="true" applyProtection="true">
      <alignment horizontal="general" vertical="bottom" textRotation="0" wrapText="false" indent="0" shrinkToFit="false"/>
      <protection locked="true" hidden="false"/>
    </xf>
    <xf numFmtId="165" fontId="13" fillId="4" borderId="1" xfId="0" applyFont="true" applyBorder="true" applyAlignment="true" applyProtection="true">
      <alignment horizontal="general" vertical="bottom" textRotation="0" wrapText="false" indent="0" shrinkToFit="false"/>
      <protection locked="true" hidden="false"/>
    </xf>
    <xf numFmtId="173" fontId="14" fillId="5" borderId="1" xfId="0" applyFont="true" applyBorder="true" applyAlignment="true" applyProtection="true">
      <alignment horizontal="center" vertical="center" textRotation="0" wrapText="false" indent="0" shrinkToFit="false"/>
      <protection locked="true" hidden="false"/>
    </xf>
    <xf numFmtId="168" fontId="9" fillId="2" borderId="1" xfId="0" applyFont="true" applyBorder="true" applyAlignment="true" applyProtection="true">
      <alignment horizontal="general" vertical="bottom" textRotation="0" wrapText="false" indent="0" shrinkToFit="false"/>
      <protection locked="true" hidden="false"/>
    </xf>
    <xf numFmtId="174" fontId="13" fillId="0" borderId="1" xfId="0" applyFont="true" applyBorder="true" applyAlignment="true" applyProtection="true">
      <alignment horizontal="general" vertical="bottom" textRotation="0" wrapText="false" indent="0" shrinkToFit="false"/>
      <protection locked="true" hidden="false"/>
    </xf>
    <xf numFmtId="168" fontId="11" fillId="0" borderId="1" xfId="0" applyFont="true" applyBorder="true" applyAlignment="true" applyProtection="true">
      <alignment horizontal="general" vertical="bottom" textRotation="0" wrapText="false" indent="0" shrinkToFit="false"/>
      <protection locked="true" hidden="false"/>
    </xf>
    <xf numFmtId="165" fontId="11" fillId="0" borderId="1"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8" fontId="8" fillId="0" borderId="1" xfId="0" applyFont="true" applyBorder="true" applyAlignment="true" applyProtection="true">
      <alignment horizontal="general" vertical="bottom" textRotation="0" wrapText="false" indent="0" shrinkToFit="false"/>
      <protection locked="true" hidden="false"/>
    </xf>
    <xf numFmtId="168" fontId="13" fillId="0" borderId="1" xfId="0" applyFont="true" applyBorder="true" applyAlignment="true" applyProtection="true">
      <alignment horizontal="general" vertical="bottom" textRotation="0" wrapText="false" indent="0" shrinkToFit="false"/>
      <protection locked="true" hidden="false"/>
    </xf>
    <xf numFmtId="175" fontId="8"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5" min="3" style="1" width="13"/>
    <col collapsed="false" customWidth="true" hidden="false" outlineLevel="0" max="6" min="6" style="1" width="14"/>
    <col collapsed="false" customWidth="true" hidden="false" outlineLevel="0" max="7" min="7" style="1" width="45"/>
    <col collapsed="false" customWidth="true" hidden="false" outlineLevel="0" max="8" min="8" style="1" width="3"/>
  </cols>
  <sheetData>
    <row r="2" customFormat="false" ht="19.5" hidden="false" customHeight="true" outlineLevel="0" collapsed="false">
      <c r="B2" s="2" t="s">
        <v>0</v>
      </c>
      <c r="C2" s="2"/>
      <c r="D2" s="2"/>
      <c r="E2" s="2"/>
      <c r="F2" s="2"/>
      <c r="G2" s="2"/>
    </row>
    <row r="3" customFormat="false" ht="15" hidden="false" customHeight="true" outlineLevel="0" collapsed="false">
      <c r="B3" s="3" t="s">
        <v>1</v>
      </c>
      <c r="C3" s="3"/>
      <c r="D3" s="3"/>
      <c r="E3" s="3"/>
      <c r="F3" s="3"/>
      <c r="G3" s="3"/>
    </row>
    <row r="4" customFormat="false" ht="15" hidden="false" customHeight="true" outlineLevel="0" collapsed="false">
      <c r="B4" s="4" t="s">
        <v>2</v>
      </c>
      <c r="C4" s="4"/>
      <c r="D4" s="4"/>
      <c r="E4" s="4"/>
      <c r="F4" s="4"/>
      <c r="G4" s="4"/>
    </row>
    <row r="6" customFormat="false" ht="15" hidden="false" customHeight="true" outlineLevel="0" collapsed="false">
      <c r="B6" s="5" t="s">
        <v>3</v>
      </c>
      <c r="C6" s="6" t="s">
        <v>4</v>
      </c>
    </row>
    <row r="7" customFormat="false" ht="15" hidden="false" customHeight="true" outlineLevel="0" collapsed="false">
      <c r="B7" s="5" t="s">
        <v>5</v>
      </c>
      <c r="C7" s="7" t="s">
        <v>6</v>
      </c>
    </row>
    <row r="8" customFormat="false" ht="15" hidden="false" customHeight="true" outlineLevel="0" collapsed="false">
      <c r="B8" s="5" t="s">
        <v>7</v>
      </c>
      <c r="C8" s="7" t="s">
        <v>8</v>
      </c>
      <c r="D8" s="7"/>
      <c r="E8" s="7"/>
      <c r="F8" s="7"/>
    </row>
    <row r="10" customFormat="false" ht="32.25" hidden="false" customHeight="true" outlineLevel="0" collapsed="false">
      <c r="B10" s="5" t="s">
        <v>9</v>
      </c>
      <c r="C10" s="8" t="n">
        <v>2.4</v>
      </c>
      <c r="G10" s="9" t="s">
        <v>10</v>
      </c>
    </row>
    <row r="11" customFormat="false" ht="32.25" hidden="false" customHeight="true" outlineLevel="0" collapsed="false">
      <c r="B11" s="5" t="s">
        <v>11</v>
      </c>
      <c r="C11" s="10" t="n">
        <v>62.7117</v>
      </c>
      <c r="G11" s="9" t="s">
        <v>12</v>
      </c>
    </row>
    <row r="12" customFormat="false" ht="68.25" hidden="false" customHeight="true" outlineLevel="0" collapsed="false">
      <c r="B12" s="5" t="s">
        <v>13</v>
      </c>
      <c r="C12" s="10" t="n">
        <v>78.48</v>
      </c>
      <c r="G12" s="11" t="s">
        <v>14</v>
      </c>
    </row>
    <row r="13" customFormat="false" ht="15" hidden="false" customHeight="true" outlineLevel="0" collapsed="false">
      <c r="B13" s="5" t="s">
        <v>15</v>
      </c>
      <c r="C13" s="12" t="n">
        <f aca="false">C10*C11</f>
        <v>150.50808</v>
      </c>
    </row>
    <row r="14" customFormat="false" ht="15" hidden="false" customHeight="true" outlineLevel="0" collapsed="false">
      <c r="B14" s="5" t="s">
        <v>16</v>
      </c>
      <c r="C14" s="7" t="s">
        <v>17</v>
      </c>
    </row>
    <row r="15" customFormat="false" ht="15" hidden="false" customHeight="true" outlineLevel="0" collapsed="false">
      <c r="B15" s="5" t="s">
        <v>18</v>
      </c>
      <c r="C15" s="13" t="n">
        <f aca="false">'Balance Sheet &amp; Cash Runway'!C9</f>
        <v>52.031</v>
      </c>
    </row>
    <row r="16" customFormat="false" ht="15" hidden="false" customHeight="true" outlineLevel="0" collapsed="false">
      <c r="B16" s="5" t="s">
        <v>19</v>
      </c>
      <c r="C16" s="13" t="n">
        <f aca="false">'Balance Sheet &amp; Cash Runway'!C11</f>
        <v>0</v>
      </c>
    </row>
    <row r="17" customFormat="false" ht="42.75" hidden="false" customHeight="true" outlineLevel="0" collapsed="false">
      <c r="B17" s="5" t="s">
        <v>20</v>
      </c>
      <c r="C17" s="12" t="n">
        <f aca="false">C13-C15+C16</f>
        <v>98.47708</v>
      </c>
      <c r="G17" s="9" t="s">
        <v>21</v>
      </c>
    </row>
    <row r="19" customFormat="false" ht="15" hidden="false" customHeight="true" outlineLevel="0" collapsed="false">
      <c r="A19" s="14" t="s">
        <v>22</v>
      </c>
      <c r="B19" s="14"/>
      <c r="C19" s="14"/>
      <c r="D19" s="14"/>
      <c r="E19" s="14"/>
      <c r="F19" s="14"/>
      <c r="G19" s="14"/>
      <c r="H19" s="14"/>
    </row>
    <row r="21" customFormat="false" ht="42" hidden="false" customHeight="true" outlineLevel="0" collapsed="false">
      <c r="B21" s="15" t="s">
        <v>23</v>
      </c>
      <c r="C21" s="16" t="s">
        <v>24</v>
      </c>
      <c r="D21" s="16"/>
      <c r="E21" s="16"/>
      <c r="G21" s="9" t="s">
        <v>25</v>
      </c>
    </row>
    <row r="22" customFormat="false" ht="42" hidden="false" customHeight="true" outlineLevel="0" collapsed="false">
      <c r="B22" s="15" t="s">
        <v>26</v>
      </c>
      <c r="C22" s="16" t="s">
        <v>27</v>
      </c>
      <c r="D22" s="16"/>
      <c r="E22" s="16"/>
      <c r="G22" s="9" t="s">
        <v>28</v>
      </c>
    </row>
    <row r="23" customFormat="false" ht="42" hidden="false" customHeight="true" outlineLevel="0" collapsed="false">
      <c r="B23" s="15" t="s">
        <v>29</v>
      </c>
      <c r="C23" s="16" t="s">
        <v>30</v>
      </c>
      <c r="D23" s="16"/>
      <c r="E23" s="16"/>
      <c r="G23" s="9" t="s">
        <v>31</v>
      </c>
    </row>
    <row r="24" customFormat="false" ht="69.75" hidden="false" customHeight="true" outlineLevel="0" collapsed="false">
      <c r="B24" s="15" t="s">
        <v>32</v>
      </c>
      <c r="C24" s="16" t="s">
        <v>33</v>
      </c>
      <c r="D24" s="16"/>
      <c r="E24" s="16"/>
      <c r="G24" s="9" t="s">
        <v>34</v>
      </c>
    </row>
    <row r="25" customFormat="false" ht="42" hidden="false" customHeight="true" outlineLevel="0" collapsed="false">
      <c r="B25" s="15" t="s">
        <v>35</v>
      </c>
      <c r="C25" s="16" t="s">
        <v>36</v>
      </c>
      <c r="D25" s="16"/>
      <c r="E25" s="16"/>
      <c r="G25" s="9" t="s">
        <v>37</v>
      </c>
    </row>
    <row r="27" customFormat="false" ht="15" hidden="false" customHeight="true" outlineLevel="0" collapsed="false">
      <c r="A27" s="14" t="s">
        <v>38</v>
      </c>
      <c r="B27" s="14"/>
      <c r="C27" s="14"/>
      <c r="D27" s="14"/>
      <c r="E27" s="14"/>
      <c r="F27" s="14"/>
      <c r="G27" s="14"/>
      <c r="H27" s="14"/>
    </row>
    <row r="29" customFormat="false" ht="15" hidden="false" customHeight="true" outlineLevel="0" collapsed="false">
      <c r="B29" s="17" t="s">
        <v>39</v>
      </c>
      <c r="C29" s="7" t="s">
        <v>40</v>
      </c>
      <c r="D29" s="7"/>
      <c r="G29" s="9" t="s">
        <v>41</v>
      </c>
    </row>
    <row r="30" customFormat="false" ht="15" hidden="false" customHeight="true" outlineLevel="0" collapsed="false">
      <c r="B30" s="17" t="s">
        <v>42</v>
      </c>
      <c r="C30" s="7" t="s">
        <v>43</v>
      </c>
      <c r="D30" s="7"/>
      <c r="G30" s="9" t="s">
        <v>44</v>
      </c>
    </row>
    <row r="31" customFormat="false" ht="21.75" hidden="false" customHeight="true" outlineLevel="0" collapsed="false">
      <c r="B31" s="17" t="s">
        <v>45</v>
      </c>
      <c r="C31" s="7" t="s">
        <v>46</v>
      </c>
      <c r="D31" s="7"/>
      <c r="G31" s="9" t="s">
        <v>47</v>
      </c>
    </row>
    <row r="32" customFormat="false" ht="21.75" hidden="false" customHeight="true" outlineLevel="0" collapsed="false">
      <c r="B32" s="17" t="s">
        <v>48</v>
      </c>
      <c r="C32" s="7" t="s">
        <v>49</v>
      </c>
      <c r="D32" s="7"/>
      <c r="G32" s="9" t="s">
        <v>50</v>
      </c>
    </row>
    <row r="33" customFormat="false" ht="21.75" hidden="false" customHeight="true" outlineLevel="0" collapsed="false">
      <c r="B33" s="17" t="s">
        <v>51</v>
      </c>
      <c r="C33" s="7" t="s">
        <v>52</v>
      </c>
      <c r="D33" s="7"/>
      <c r="G33" s="9" t="s">
        <v>53</v>
      </c>
    </row>
    <row r="35" customFormat="false" ht="15" hidden="false" customHeight="true" outlineLevel="0" collapsed="false">
      <c r="A35" s="14" t="s">
        <v>54</v>
      </c>
      <c r="B35" s="14"/>
      <c r="C35" s="14"/>
      <c r="D35" s="14"/>
      <c r="E35" s="14"/>
      <c r="F35" s="14"/>
      <c r="G35" s="14"/>
      <c r="H35" s="14"/>
    </row>
    <row r="37" customFormat="false" ht="32.25" hidden="false" customHeight="true" outlineLevel="0" collapsed="false">
      <c r="B37" s="17" t="s">
        <v>55</v>
      </c>
      <c r="C37" s="18" t="s">
        <v>56</v>
      </c>
      <c r="G37" s="9" t="s">
        <v>57</v>
      </c>
    </row>
    <row r="39" customFormat="false" ht="15" hidden="false" customHeight="true" outlineLevel="0" collapsed="false">
      <c r="A39" s="14" t="s">
        <v>58</v>
      </c>
      <c r="B39" s="14"/>
      <c r="C39" s="14"/>
      <c r="D39" s="14"/>
      <c r="E39" s="14"/>
      <c r="F39" s="14"/>
      <c r="G39" s="14"/>
      <c r="H39" s="14"/>
    </row>
    <row r="41" customFormat="false" ht="15" hidden="false" customHeight="true" outlineLevel="0" collapsed="false">
      <c r="B41" s="19" t="s">
        <v>59</v>
      </c>
      <c r="C41" s="19" t="s">
        <v>60</v>
      </c>
      <c r="D41" s="19" t="s">
        <v>56</v>
      </c>
      <c r="E41" s="19" t="s">
        <v>61</v>
      </c>
      <c r="F41" s="19" t="s">
        <v>62</v>
      </c>
      <c r="G41" s="19" t="s">
        <v>63</v>
      </c>
    </row>
    <row r="42" customFormat="false" ht="43.5" hidden="false" customHeight="true" outlineLevel="0" collapsed="false">
      <c r="B42" s="20" t="s">
        <v>64</v>
      </c>
      <c r="C42" s="21" t="n">
        <v>0.4</v>
      </c>
      <c r="D42" s="21" t="n">
        <v>0.6</v>
      </c>
      <c r="E42" s="21" t="n">
        <v>0.75</v>
      </c>
      <c r="F42" s="22" t="n">
        <f aca="false">IF($C$37="Low",C42,IF($C$37="Base",D42,E42))</f>
        <v>0.6</v>
      </c>
      <c r="G42" s="9" t="s">
        <v>65</v>
      </c>
    </row>
    <row r="43" customFormat="false" ht="43.5" hidden="false" customHeight="true" outlineLevel="0" collapsed="false">
      <c r="B43" s="20" t="s">
        <v>66</v>
      </c>
      <c r="C43" s="21" t="n">
        <v>0.35</v>
      </c>
      <c r="D43" s="21" t="n">
        <v>0.5</v>
      </c>
      <c r="E43" s="21" t="n">
        <v>0.65</v>
      </c>
      <c r="F43" s="22" t="n">
        <f aca="false">IF($C$37="Low",C43,IF($C$37="Base",D43,E43))</f>
        <v>0.5</v>
      </c>
      <c r="G43" s="9" t="s">
        <v>67</v>
      </c>
    </row>
    <row r="44" customFormat="false" ht="43.5" hidden="false" customHeight="true" outlineLevel="0" collapsed="false">
      <c r="B44" s="20" t="s">
        <v>68</v>
      </c>
      <c r="C44" s="21" t="n">
        <v>0.18</v>
      </c>
      <c r="D44" s="21" t="n">
        <v>0.28</v>
      </c>
      <c r="E44" s="21" t="n">
        <v>0.4</v>
      </c>
      <c r="F44" s="22" t="n">
        <f aca="false">IF($C$37="Low",C44,IF($C$37="Base",D44,E44))</f>
        <v>0.28</v>
      </c>
      <c r="G44" s="9" t="s">
        <v>69</v>
      </c>
    </row>
    <row r="45" customFormat="false" ht="43.5" hidden="false" customHeight="true" outlineLevel="0" collapsed="false">
      <c r="B45" s="20" t="s">
        <v>70</v>
      </c>
      <c r="C45" s="23" t="n">
        <v>350</v>
      </c>
      <c r="D45" s="23" t="n">
        <v>450</v>
      </c>
      <c r="E45" s="23" t="n">
        <v>550</v>
      </c>
      <c r="F45" s="24" t="n">
        <f aca="false">IF($C$37="Low",C45,IF($C$37="Base",D45,E45))</f>
        <v>450</v>
      </c>
      <c r="G45" s="9" t="s">
        <v>71</v>
      </c>
    </row>
    <row r="46" customFormat="false" ht="43.5" hidden="false" customHeight="true" outlineLevel="0" collapsed="false">
      <c r="B46" s="20" t="s">
        <v>72</v>
      </c>
      <c r="C46" s="23" t="n">
        <v>400</v>
      </c>
      <c r="D46" s="23" t="n">
        <v>550</v>
      </c>
      <c r="E46" s="23" t="n">
        <v>700</v>
      </c>
      <c r="F46" s="24" t="n">
        <f aca="false">IF($C$37="Low",C46,IF($C$37="Base",D46,E46))</f>
        <v>550</v>
      </c>
      <c r="G46" s="9" t="s">
        <v>73</v>
      </c>
    </row>
    <row r="47" customFormat="false" ht="43.5" hidden="false" customHeight="true" outlineLevel="0" collapsed="false">
      <c r="B47" s="20" t="s">
        <v>74</v>
      </c>
      <c r="C47" s="25" t="n">
        <v>6000</v>
      </c>
      <c r="D47" s="25" t="n">
        <v>9000</v>
      </c>
      <c r="E47" s="25" t="n">
        <v>13000</v>
      </c>
      <c r="F47" s="26" t="n">
        <f aca="false">IF($C$37="Low",C47,IF($C$37="Base",D47,E47))</f>
        <v>9000</v>
      </c>
      <c r="G47" s="9" t="s">
        <v>75</v>
      </c>
    </row>
    <row r="48" customFormat="false" ht="43.5" hidden="false" customHeight="true" outlineLevel="0" collapsed="false">
      <c r="B48" s="20" t="s">
        <v>76</v>
      </c>
      <c r="C48" s="21" t="n">
        <v>0.12</v>
      </c>
      <c r="D48" s="21" t="n">
        <v>0.2</v>
      </c>
      <c r="E48" s="21" t="n">
        <v>0.3</v>
      </c>
      <c r="F48" s="22" t="n">
        <f aca="false">IF($C$37="Low",C48,IF($C$37="Base",D48,E48))</f>
        <v>0.2</v>
      </c>
      <c r="G48" s="9" t="s">
        <v>77</v>
      </c>
    </row>
    <row r="49" customFormat="false" ht="43.5" hidden="false" customHeight="true" outlineLevel="0" collapsed="false">
      <c r="B49" s="20" t="s">
        <v>78</v>
      </c>
      <c r="C49" s="23" t="n">
        <v>2032</v>
      </c>
      <c r="D49" s="23" t="n">
        <v>2031</v>
      </c>
      <c r="E49" s="23" t="n">
        <v>2030</v>
      </c>
      <c r="F49" s="24" t="n">
        <f aca="false">IF($C$37="Low",C49,IF($C$37="Base",D49,E49))</f>
        <v>2031</v>
      </c>
      <c r="G49" s="9" t="s">
        <v>79</v>
      </c>
    </row>
    <row r="50" customFormat="false" ht="43.5" hidden="false" customHeight="true" outlineLevel="0" collapsed="false">
      <c r="B50" s="20" t="s">
        <v>80</v>
      </c>
      <c r="C50" s="23" t="n">
        <v>2033</v>
      </c>
      <c r="D50" s="23" t="n">
        <v>2032</v>
      </c>
      <c r="E50" s="23" t="n">
        <v>2031</v>
      </c>
      <c r="F50" s="24" t="n">
        <f aca="false">IF($C$37="Low",C50,IF($C$37="Base",D50,E50))</f>
        <v>2032</v>
      </c>
      <c r="G50" s="9" t="s">
        <v>81</v>
      </c>
    </row>
    <row r="51" customFormat="false" ht="43.5" hidden="false" customHeight="true" outlineLevel="0" collapsed="false">
      <c r="B51" s="20" t="s">
        <v>82</v>
      </c>
      <c r="C51" s="23" t="n">
        <v>6</v>
      </c>
      <c r="D51" s="23" t="n">
        <v>5</v>
      </c>
      <c r="E51" s="23" t="n">
        <v>4</v>
      </c>
      <c r="F51" s="24" t="n">
        <f aca="false">IF($C$37="Low",C51,IF($C$37="Base",D51,E51))</f>
        <v>5</v>
      </c>
      <c r="G51" s="9" t="s">
        <v>83</v>
      </c>
    </row>
    <row r="52" customFormat="false" ht="43.5" hidden="false" customHeight="true" outlineLevel="0" collapsed="false">
      <c r="B52" s="20" t="s">
        <v>84</v>
      </c>
      <c r="C52" s="23" t="n">
        <v>2038</v>
      </c>
      <c r="D52" s="23" t="n">
        <v>2040</v>
      </c>
      <c r="E52" s="23" t="n">
        <v>2042</v>
      </c>
      <c r="F52" s="24" t="n">
        <f aca="false">IF($C$37="Low",C52,IF($C$37="Base",D52,E52))</f>
        <v>2040</v>
      </c>
      <c r="G52" s="9" t="s">
        <v>85</v>
      </c>
    </row>
    <row r="53" customFormat="false" ht="43.5" hidden="false" customHeight="true" outlineLevel="0" collapsed="false">
      <c r="B53" s="20" t="s">
        <v>86</v>
      </c>
      <c r="C53" s="21" t="n">
        <v>0.18</v>
      </c>
      <c r="D53" s="21" t="n">
        <v>0.15</v>
      </c>
      <c r="E53" s="21" t="n">
        <v>0.12</v>
      </c>
      <c r="F53" s="22" t="n">
        <f aca="false">IF($C$37="Low",C53,IF($C$37="Base",D53,E53))</f>
        <v>0.15</v>
      </c>
      <c r="G53" s="9" t="s">
        <v>87</v>
      </c>
    </row>
    <row r="54" customFormat="false" ht="43.5" hidden="false" customHeight="true" outlineLevel="0" collapsed="false">
      <c r="B54" s="20" t="s">
        <v>88</v>
      </c>
      <c r="C54" s="21" t="n">
        <v>0.35</v>
      </c>
      <c r="D54" s="21" t="n">
        <v>0.28</v>
      </c>
      <c r="E54" s="21" t="n">
        <v>0.22</v>
      </c>
      <c r="F54" s="22" t="n">
        <f aca="false">IF($C$37="Low",C54,IF($C$37="Base",D54,E54))</f>
        <v>0.28</v>
      </c>
      <c r="G54" s="9" t="s">
        <v>89</v>
      </c>
    </row>
    <row r="55" customFormat="false" ht="43.5" hidden="false" customHeight="true" outlineLevel="0" collapsed="false">
      <c r="B55" s="20" t="s">
        <v>90</v>
      </c>
      <c r="C55" s="21" t="n">
        <v>0.14</v>
      </c>
      <c r="D55" s="21" t="n">
        <v>0.125</v>
      </c>
      <c r="E55" s="21" t="n">
        <v>0.11</v>
      </c>
      <c r="F55" s="22" t="n">
        <f aca="false">IF($C$37="Low",C55,IF($C$37="Base",D55,E55))</f>
        <v>0.125</v>
      </c>
      <c r="G55" s="9" t="s">
        <v>91</v>
      </c>
    </row>
    <row r="56" customFormat="false" ht="43.5" hidden="false" customHeight="true" outlineLevel="0" collapsed="false">
      <c r="B56" s="20" t="s">
        <v>92</v>
      </c>
      <c r="C56" s="21" t="n">
        <v>0.15</v>
      </c>
      <c r="D56" s="21" t="n">
        <v>0.3</v>
      </c>
      <c r="E56" s="21" t="n">
        <v>0.45</v>
      </c>
      <c r="F56" s="22" t="n">
        <f aca="false">IF($C$37="Low",C56,IF($C$37="Base",D56,E56))</f>
        <v>0.3</v>
      </c>
      <c r="G56" s="9" t="s">
        <v>93</v>
      </c>
    </row>
    <row r="57" customFormat="false" ht="43.5" hidden="false" customHeight="true" outlineLevel="0" collapsed="false">
      <c r="B57" s="20" t="s">
        <v>94</v>
      </c>
      <c r="C57" s="25" t="n">
        <v>15</v>
      </c>
      <c r="D57" s="25" t="n">
        <v>30</v>
      </c>
      <c r="E57" s="25" t="n">
        <v>50</v>
      </c>
      <c r="F57" s="26" t="n">
        <f aca="false">IF($C$37="Low",C57,IF($C$37="Base",D57,E57))</f>
        <v>30</v>
      </c>
      <c r="G57" s="9" t="s">
        <v>95</v>
      </c>
    </row>
  </sheetData>
  <mergeCells count="14">
    <mergeCell ref="B2:G2"/>
    <mergeCell ref="B3:G3"/>
    <mergeCell ref="B4:G4"/>
    <mergeCell ref="C8:F8"/>
    <mergeCell ref="C21:E21"/>
    <mergeCell ref="C22:E22"/>
    <mergeCell ref="C23:E23"/>
    <mergeCell ref="C24:E24"/>
    <mergeCell ref="C25:E25"/>
    <mergeCell ref="C29:D29"/>
    <mergeCell ref="C30:D30"/>
    <mergeCell ref="C31:D31"/>
    <mergeCell ref="C32:D32"/>
    <mergeCell ref="C33:D33"/>
  </mergeCells>
  <dataValidations count="1">
    <dataValidation allowBlank="false" errorStyle="stop" operator="between" showDropDown="false" showErrorMessage="false" showInputMessage="false" sqref="C37" type="list">
      <formula1>"Low,Base,High"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6" min="3" style="1" width="15"/>
    <col collapsed="false" customWidth="true" hidden="false" outlineLevel="0" max="7" min="7" style="1" width="45"/>
    <col collapsed="false" customWidth="true" hidden="false" outlineLevel="0" max="8" min="8" style="1" width="3"/>
  </cols>
  <sheetData>
    <row r="2" customFormat="false" ht="19.5" hidden="false" customHeight="true" outlineLevel="0" collapsed="false">
      <c r="B2" s="2" t="s">
        <v>96</v>
      </c>
      <c r="C2" s="2"/>
      <c r="D2" s="2"/>
      <c r="E2" s="2"/>
      <c r="F2" s="2"/>
    </row>
    <row r="3" customFormat="false" ht="23.25" hidden="false" customHeight="true" outlineLevel="0" collapsed="false">
      <c r="B3" s="27" t="s">
        <v>97</v>
      </c>
      <c r="C3" s="27"/>
      <c r="D3" s="27"/>
      <c r="E3" s="27"/>
      <c r="F3" s="27"/>
      <c r="G3" s="27"/>
    </row>
    <row r="5" customFormat="false" ht="15" hidden="false" customHeight="true" outlineLevel="0" collapsed="false">
      <c r="A5" s="14" t="s">
        <v>98</v>
      </c>
      <c r="B5" s="14"/>
      <c r="C5" s="14"/>
      <c r="D5" s="14"/>
      <c r="E5" s="14"/>
      <c r="F5" s="14"/>
      <c r="G5" s="14"/>
      <c r="H5" s="14"/>
    </row>
    <row r="7" customFormat="false" ht="32.25" hidden="false" customHeight="true" outlineLevel="0" collapsed="false">
      <c r="B7" s="7" t="s">
        <v>99</v>
      </c>
      <c r="C7" s="28" t="n">
        <v>46.034</v>
      </c>
      <c r="G7" s="9" t="s">
        <v>100</v>
      </c>
    </row>
    <row r="8" customFormat="false" ht="15" hidden="false" customHeight="true" outlineLevel="0" collapsed="false">
      <c r="B8" s="7" t="s">
        <v>101</v>
      </c>
      <c r="C8" s="28" t="n">
        <v>5.997</v>
      </c>
      <c r="G8" s="9" t="s">
        <v>102</v>
      </c>
    </row>
    <row r="9" customFormat="false" ht="32.25" hidden="false" customHeight="true" outlineLevel="0" collapsed="false">
      <c r="B9" s="17" t="s">
        <v>103</v>
      </c>
      <c r="C9" s="29" t="n">
        <f aca="false">C7+C8</f>
        <v>52.031</v>
      </c>
      <c r="G9" s="9" t="s">
        <v>104</v>
      </c>
    </row>
    <row r="10" customFormat="false" ht="15" hidden="false" customHeight="true" outlineLevel="0" collapsed="false">
      <c r="A10" s="14"/>
      <c r="B10" s="14"/>
      <c r="C10" s="14"/>
      <c r="D10" s="14"/>
      <c r="E10" s="14"/>
      <c r="F10" s="14"/>
      <c r="G10" s="14"/>
      <c r="H10" s="14"/>
    </row>
    <row r="11" customFormat="false" ht="42.75" hidden="false" customHeight="true" outlineLevel="0" collapsed="false">
      <c r="B11" s="17" t="s">
        <v>105</v>
      </c>
      <c r="C11" s="28" t="n">
        <v>0</v>
      </c>
      <c r="G11" s="9" t="s">
        <v>106</v>
      </c>
    </row>
    <row r="13" customFormat="false" ht="15" hidden="false" customHeight="true" outlineLevel="0" collapsed="false">
      <c r="A13" s="14" t="s">
        <v>107</v>
      </c>
      <c r="B13" s="14"/>
      <c r="C13" s="14"/>
      <c r="D13" s="14"/>
      <c r="E13" s="14"/>
      <c r="F13" s="14"/>
      <c r="G13" s="14"/>
      <c r="H13" s="14"/>
    </row>
    <row r="15" customFormat="false" ht="30" hidden="false" customHeight="true" outlineLevel="0" collapsed="false">
      <c r="B15" s="20" t="s">
        <v>108</v>
      </c>
      <c r="C15" s="8" t="n">
        <v>20.2</v>
      </c>
      <c r="G15" s="9" t="s">
        <v>109</v>
      </c>
    </row>
    <row r="16" customFormat="false" ht="30" hidden="false" customHeight="true" outlineLevel="0" collapsed="false">
      <c r="B16" s="20" t="s">
        <v>110</v>
      </c>
      <c r="C16" s="8" t="n">
        <v>18.6</v>
      </c>
      <c r="G16" s="9" t="s">
        <v>111</v>
      </c>
    </row>
    <row r="17" customFormat="false" ht="30" hidden="false" customHeight="true" outlineLevel="0" collapsed="false">
      <c r="B17" s="20" t="s">
        <v>112</v>
      </c>
      <c r="C17" s="8" t="n">
        <v>0.37</v>
      </c>
      <c r="G17" s="9" t="s">
        <v>113</v>
      </c>
    </row>
    <row r="18" customFormat="false" ht="30" hidden="false" customHeight="true" outlineLevel="0" collapsed="false">
      <c r="B18" s="20" t="s">
        <v>114</v>
      </c>
      <c r="C18" s="8" t="n">
        <v>4</v>
      </c>
      <c r="G18" s="9" t="s">
        <v>115</v>
      </c>
    </row>
    <row r="20" customFormat="false" ht="15" hidden="false" customHeight="true" outlineLevel="0" collapsed="false">
      <c r="A20" s="14" t="s">
        <v>116</v>
      </c>
      <c r="B20" s="14"/>
      <c r="C20" s="14"/>
      <c r="D20" s="14"/>
      <c r="E20" s="14"/>
      <c r="F20" s="14"/>
      <c r="G20" s="14"/>
      <c r="H20" s="14"/>
    </row>
    <row r="22" customFormat="false" ht="27.75" hidden="false" customHeight="true" outlineLevel="0" collapsed="false">
      <c r="B22" s="20" t="s">
        <v>117</v>
      </c>
      <c r="C22" s="10" t="n">
        <v>62.7117</v>
      </c>
      <c r="G22" s="9" t="s">
        <v>118</v>
      </c>
    </row>
    <row r="23" customFormat="false" ht="27.75" hidden="false" customHeight="true" outlineLevel="0" collapsed="false">
      <c r="B23" s="20" t="s">
        <v>119</v>
      </c>
      <c r="C23" s="10" t="n">
        <v>56.545</v>
      </c>
      <c r="G23" s="9" t="s">
        <v>120</v>
      </c>
    </row>
    <row r="24" customFormat="false" ht="27.75" hidden="false" customHeight="true" outlineLevel="0" collapsed="false">
      <c r="B24" s="20" t="s">
        <v>121</v>
      </c>
      <c r="C24" s="10" t="n">
        <v>15.1676</v>
      </c>
      <c r="G24" s="11" t="s">
        <v>122</v>
      </c>
    </row>
    <row r="26" customFormat="false" ht="15" hidden="false" customHeight="true" outlineLevel="0" collapsed="false">
      <c r="A26" s="14" t="s">
        <v>123</v>
      </c>
      <c r="B26" s="14"/>
      <c r="C26" s="14"/>
      <c r="D26" s="14"/>
      <c r="E26" s="14"/>
      <c r="F26" s="14"/>
      <c r="G26" s="14"/>
      <c r="H26" s="14"/>
    </row>
    <row r="28" customFormat="false" ht="42.75" hidden="false" customHeight="true" outlineLevel="0" collapsed="false">
      <c r="B28" s="7" t="s">
        <v>124</v>
      </c>
      <c r="C28" s="8" t="n">
        <v>15.03</v>
      </c>
      <c r="G28" s="9" t="s">
        <v>125</v>
      </c>
    </row>
    <row r="29" customFormat="false" ht="15" hidden="false" customHeight="true" outlineLevel="0" collapsed="false">
      <c r="B29" s="7" t="s">
        <v>126</v>
      </c>
      <c r="C29" s="8" t="n">
        <v>4.746</v>
      </c>
    </row>
    <row r="30" customFormat="false" ht="15" hidden="false" customHeight="true" outlineLevel="0" collapsed="false">
      <c r="B30" s="7" t="s">
        <v>127</v>
      </c>
      <c r="C30" s="8" t="n">
        <v>0.169</v>
      </c>
    </row>
    <row r="31" customFormat="false" ht="15" hidden="false" customHeight="true" outlineLevel="0" collapsed="false">
      <c r="B31" s="7" t="s">
        <v>128</v>
      </c>
      <c r="C31" s="8" t="n">
        <v>19.398</v>
      </c>
      <c r="G31" s="1" t="s">
        <v>129</v>
      </c>
    </row>
    <row r="32" customFormat="false" ht="15" hidden="false" customHeight="true" outlineLevel="0" collapsed="false">
      <c r="B32" s="7" t="s">
        <v>130</v>
      </c>
      <c r="C32" s="8" t="n">
        <v>16</v>
      </c>
    </row>
    <row r="33" customFormat="false" ht="42.75" hidden="false" customHeight="true" outlineLevel="0" collapsed="false">
      <c r="B33" s="17" t="s">
        <v>131</v>
      </c>
      <c r="C33" s="12" t="n">
        <f aca="false">C32*1.05</f>
        <v>16.8</v>
      </c>
      <c r="G33" s="9" t="s">
        <v>132</v>
      </c>
    </row>
    <row r="35" customFormat="false" ht="15" hidden="false" customHeight="true" outlineLevel="0" collapsed="false">
      <c r="B35" s="17" t="s">
        <v>133</v>
      </c>
      <c r="C35" s="30" t="n">
        <f aca="false">'Cover &amp; Assumptions'!C15/C33</f>
        <v>3.09708333333333</v>
      </c>
    </row>
    <row r="36" customFormat="false" ht="63.75" hidden="false" customHeight="true" outlineLevel="0" collapsed="false">
      <c r="B36" s="17" t="s">
        <v>134</v>
      </c>
      <c r="C36" s="31" t="n">
        <f aca="false">EDATE(DATE(2026,3,31),3*C35)</f>
        <v>46387</v>
      </c>
      <c r="G36" s="9" t="s">
        <v>135</v>
      </c>
    </row>
    <row r="38" customFormat="false" ht="15" hidden="false" customHeight="true" outlineLevel="0" collapsed="false">
      <c r="A38" s="14" t="s">
        <v>136</v>
      </c>
      <c r="B38" s="14"/>
      <c r="C38" s="14"/>
      <c r="D38" s="14"/>
      <c r="E38" s="14"/>
      <c r="F38" s="14"/>
      <c r="G38" s="14"/>
      <c r="H38" s="14"/>
    </row>
    <row r="40" customFormat="false" ht="60" hidden="false" customHeight="true" outlineLevel="0" collapsed="false">
      <c r="B40" s="16" t="s">
        <v>137</v>
      </c>
      <c r="C40" s="16"/>
      <c r="D40" s="16"/>
      <c r="E40" s="16"/>
      <c r="F40" s="16"/>
      <c r="G40" s="16"/>
    </row>
    <row r="41" customFormat="false" ht="15" hidden="false" customHeight="true" outlineLevel="0" collapsed="false">
      <c r="B41" s="16"/>
      <c r="C41" s="16"/>
      <c r="D41" s="16"/>
      <c r="E41" s="16"/>
      <c r="F41" s="16"/>
      <c r="G41" s="16"/>
    </row>
    <row r="42" customFormat="false" ht="15" hidden="false" customHeight="true" outlineLevel="0" collapsed="false">
      <c r="B42" s="16"/>
      <c r="C42" s="16"/>
      <c r="D42" s="16"/>
      <c r="E42" s="16"/>
      <c r="F42" s="16"/>
      <c r="G42" s="16"/>
    </row>
  </sheetData>
  <mergeCells count="3">
    <mergeCell ref="B2:F2"/>
    <mergeCell ref="B3:G3"/>
    <mergeCell ref="B40:G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22" min="3" style="1" width="11"/>
    <col collapsed="false" customWidth="true" hidden="false" outlineLevel="0" max="24" min="24" style="1" width="55"/>
  </cols>
  <sheetData>
    <row r="2" customFormat="false" ht="19.5" hidden="false" customHeight="true" outlineLevel="0" collapsed="false">
      <c r="B2" s="32" t="s">
        <v>138</v>
      </c>
    </row>
    <row r="3" customFormat="false" ht="15" hidden="false" customHeight="true" outlineLevel="0" collapsed="false">
      <c r="B3" s="27" t="s">
        <v>139</v>
      </c>
      <c r="C3" s="27"/>
      <c r="D3" s="27"/>
      <c r="E3" s="27"/>
      <c r="F3" s="27"/>
      <c r="G3" s="27"/>
      <c r="H3" s="27"/>
      <c r="I3" s="27"/>
      <c r="J3" s="27"/>
      <c r="K3" s="27"/>
      <c r="L3" s="27"/>
      <c r="M3" s="27"/>
      <c r="N3" s="27"/>
      <c r="O3" s="27"/>
      <c r="P3" s="27"/>
      <c r="Q3" s="27"/>
      <c r="R3" s="27"/>
      <c r="S3" s="27"/>
      <c r="T3" s="27"/>
      <c r="U3" s="27"/>
      <c r="V3" s="27"/>
    </row>
    <row r="5" customFormat="false" ht="15" hidden="false" customHeight="true" outlineLevel="0" collapsed="false">
      <c r="B5" s="19" t="s">
        <v>140</v>
      </c>
      <c r="C5" s="19" t="n">
        <v>2026</v>
      </c>
      <c r="D5" s="19" t="n">
        <v>2027</v>
      </c>
      <c r="E5" s="19" t="n">
        <v>2028</v>
      </c>
      <c r="F5" s="19" t="n">
        <v>2029</v>
      </c>
      <c r="G5" s="19" t="n">
        <v>2030</v>
      </c>
      <c r="H5" s="19" t="n">
        <v>2031</v>
      </c>
      <c r="I5" s="19" t="n">
        <v>2032</v>
      </c>
      <c r="J5" s="19" t="n">
        <v>2033</v>
      </c>
      <c r="K5" s="19" t="n">
        <v>2034</v>
      </c>
      <c r="L5" s="19" t="n">
        <v>2035</v>
      </c>
      <c r="M5" s="19" t="n">
        <v>2036</v>
      </c>
      <c r="N5" s="19" t="n">
        <v>2037</v>
      </c>
      <c r="O5" s="19" t="n">
        <v>2038</v>
      </c>
      <c r="P5" s="19" t="n">
        <v>2039</v>
      </c>
      <c r="Q5" s="19" t="n">
        <v>2040</v>
      </c>
      <c r="R5" s="19" t="n">
        <v>2041</v>
      </c>
      <c r="S5" s="19" t="n">
        <v>2042</v>
      </c>
      <c r="T5" s="19" t="n">
        <v>2043</v>
      </c>
      <c r="U5" s="19" t="n">
        <v>2044</v>
      </c>
      <c r="V5" s="19" t="n">
        <v>2045</v>
      </c>
    </row>
    <row r="7" customFormat="false" ht="15" hidden="false" customHeight="true" outlineLevel="0" collapsed="false">
      <c r="A7" s="14" t="s">
        <v>141</v>
      </c>
      <c r="B7" s="14"/>
      <c r="C7" s="14"/>
      <c r="D7" s="14"/>
      <c r="E7" s="14"/>
      <c r="F7" s="14"/>
      <c r="G7" s="14"/>
      <c r="H7" s="14"/>
    </row>
    <row r="9" customFormat="false" ht="15" hidden="false" customHeight="true" outlineLevel="0" collapsed="false">
      <c r="B9" s="7" t="s">
        <v>142</v>
      </c>
      <c r="C9" s="33" t="n">
        <f aca="false">C$5-'Cover &amp; Assumptions'!$F$49</f>
        <v>-5</v>
      </c>
      <c r="D9" s="33" t="n">
        <f aca="false">D$5-'Cover &amp; Assumptions'!$F$49</f>
        <v>-4</v>
      </c>
      <c r="E9" s="33" t="n">
        <f aca="false">E$5-'Cover &amp; Assumptions'!$F$49</f>
        <v>-3</v>
      </c>
      <c r="F9" s="33" t="n">
        <f aca="false">F$5-'Cover &amp; Assumptions'!$F$49</f>
        <v>-2</v>
      </c>
      <c r="G9" s="33" t="n">
        <f aca="false">G$5-'Cover &amp; Assumptions'!$F$49</f>
        <v>-1</v>
      </c>
      <c r="H9" s="33" t="n">
        <f aca="false">H$5-'Cover &amp; Assumptions'!$F$49</f>
        <v>0</v>
      </c>
      <c r="I9" s="33" t="n">
        <f aca="false">I$5-'Cover &amp; Assumptions'!$F$49</f>
        <v>1</v>
      </c>
      <c r="J9" s="33" t="n">
        <f aca="false">J$5-'Cover &amp; Assumptions'!$F$49</f>
        <v>2</v>
      </c>
      <c r="K9" s="33" t="n">
        <f aca="false">K$5-'Cover &amp; Assumptions'!$F$49</f>
        <v>3</v>
      </c>
      <c r="L9" s="33" t="n">
        <f aca="false">L$5-'Cover &amp; Assumptions'!$F$49</f>
        <v>4</v>
      </c>
      <c r="M9" s="33" t="n">
        <f aca="false">M$5-'Cover &amp; Assumptions'!$F$49</f>
        <v>5</v>
      </c>
      <c r="N9" s="33" t="n">
        <f aca="false">N$5-'Cover &amp; Assumptions'!$F$49</f>
        <v>6</v>
      </c>
      <c r="O9" s="33" t="n">
        <f aca="false">O$5-'Cover &amp; Assumptions'!$F$49</f>
        <v>7</v>
      </c>
      <c r="P9" s="33" t="n">
        <f aca="false">P$5-'Cover &amp; Assumptions'!$F$49</f>
        <v>8</v>
      </c>
      <c r="Q9" s="33" t="n">
        <f aca="false">Q$5-'Cover &amp; Assumptions'!$F$49</f>
        <v>9</v>
      </c>
      <c r="R9" s="33" t="n">
        <f aca="false">R$5-'Cover &amp; Assumptions'!$F$49</f>
        <v>10</v>
      </c>
      <c r="S9" s="33" t="n">
        <f aca="false">S$5-'Cover &amp; Assumptions'!$F$49</f>
        <v>11</v>
      </c>
      <c r="T9" s="33" t="n">
        <f aca="false">T$5-'Cover &amp; Assumptions'!$F$49</f>
        <v>12</v>
      </c>
      <c r="U9" s="33" t="n">
        <f aca="false">U$5-'Cover &amp; Assumptions'!$F$49</f>
        <v>13</v>
      </c>
      <c r="V9" s="33" t="n">
        <f aca="false">V$5-'Cover &amp; Assumptions'!$F$49</f>
        <v>14</v>
      </c>
    </row>
    <row r="10" customFormat="false" ht="15" hidden="false" customHeight="true" outlineLevel="0" collapsed="false">
      <c r="B10" s="7" t="s">
        <v>143</v>
      </c>
      <c r="C10" s="34" t="n">
        <f aca="false">IF(C9&lt;0,0,IF(C9&gt;='Cover &amp; Assumptions'!$F$52-'Cover &amp; Assumptions'!$F$49,'Cover &amp; Assumptions'!$F$48*0.15,MIN('Cover &amp; Assumptions'!$F$48,'Cover &amp; Assumptions'!$F$48*C9/'Cover &amp; Assumptions'!$F$51)))</f>
        <v>0</v>
      </c>
      <c r="D10" s="34" t="n">
        <f aca="false">IF(D9&lt;0,0,IF(D9&gt;='Cover &amp; Assumptions'!$F$52-'Cover &amp; Assumptions'!$F$49,'Cover &amp; Assumptions'!$F$48*0.15,MIN('Cover &amp; Assumptions'!$F$48,'Cover &amp; Assumptions'!$F$48*D9/'Cover &amp; Assumptions'!$F$51)))</f>
        <v>0</v>
      </c>
      <c r="E10" s="34" t="n">
        <f aca="false">IF(E9&lt;0,0,IF(E9&gt;='Cover &amp; Assumptions'!$F$52-'Cover &amp; Assumptions'!$F$49,'Cover &amp; Assumptions'!$F$48*0.15,MIN('Cover &amp; Assumptions'!$F$48,'Cover &amp; Assumptions'!$F$48*E9/'Cover &amp; Assumptions'!$F$51)))</f>
        <v>0</v>
      </c>
      <c r="F10" s="34" t="n">
        <f aca="false">IF(F9&lt;0,0,IF(F9&gt;='Cover &amp; Assumptions'!$F$52-'Cover &amp; Assumptions'!$F$49,'Cover &amp; Assumptions'!$F$48*0.15,MIN('Cover &amp; Assumptions'!$F$48,'Cover &amp; Assumptions'!$F$48*F9/'Cover &amp; Assumptions'!$F$51)))</f>
        <v>0</v>
      </c>
      <c r="G10" s="34" t="n">
        <f aca="false">IF(G9&lt;0,0,IF(G9&gt;='Cover &amp; Assumptions'!$F$52-'Cover &amp; Assumptions'!$F$49,'Cover &amp; Assumptions'!$F$48*0.15,MIN('Cover &amp; Assumptions'!$F$48,'Cover &amp; Assumptions'!$F$48*G9/'Cover &amp; Assumptions'!$F$51)))</f>
        <v>0</v>
      </c>
      <c r="H10" s="34" t="n">
        <f aca="false">IF(H9&lt;0,0,IF(H9&gt;='Cover &amp; Assumptions'!$F$52-'Cover &amp; Assumptions'!$F$49,'Cover &amp; Assumptions'!$F$48*0.15,MIN('Cover &amp; Assumptions'!$F$48,'Cover &amp; Assumptions'!$F$48*H9/'Cover &amp; Assumptions'!$F$51)))</f>
        <v>0</v>
      </c>
      <c r="I10" s="34" t="n">
        <f aca="false">IF(I9&lt;0,0,IF(I9&gt;='Cover &amp; Assumptions'!$F$52-'Cover &amp; Assumptions'!$F$49,'Cover &amp; Assumptions'!$F$48*0.15,MIN('Cover &amp; Assumptions'!$F$48,'Cover &amp; Assumptions'!$F$48*I9/'Cover &amp; Assumptions'!$F$51)))</f>
        <v>0.04</v>
      </c>
      <c r="J10" s="34" t="n">
        <f aca="false">IF(J9&lt;0,0,IF(J9&gt;='Cover &amp; Assumptions'!$F$52-'Cover &amp; Assumptions'!$F$49,'Cover &amp; Assumptions'!$F$48*0.15,MIN('Cover &amp; Assumptions'!$F$48,'Cover &amp; Assumptions'!$F$48*J9/'Cover &amp; Assumptions'!$F$51)))</f>
        <v>0.08</v>
      </c>
      <c r="K10" s="34" t="n">
        <f aca="false">IF(K9&lt;0,0,IF(K9&gt;='Cover &amp; Assumptions'!$F$52-'Cover &amp; Assumptions'!$F$49,'Cover &amp; Assumptions'!$F$48*0.15,MIN('Cover &amp; Assumptions'!$F$48,'Cover &amp; Assumptions'!$F$48*K9/'Cover &amp; Assumptions'!$F$51)))</f>
        <v>0.12</v>
      </c>
      <c r="L10" s="34" t="n">
        <f aca="false">IF(L9&lt;0,0,IF(L9&gt;='Cover &amp; Assumptions'!$F$52-'Cover &amp; Assumptions'!$F$49,'Cover &amp; Assumptions'!$F$48*0.15,MIN('Cover &amp; Assumptions'!$F$48,'Cover &amp; Assumptions'!$F$48*L9/'Cover &amp; Assumptions'!$F$51)))</f>
        <v>0.16</v>
      </c>
      <c r="M10" s="34" t="n">
        <f aca="false">IF(M9&lt;0,0,IF(M9&gt;='Cover &amp; Assumptions'!$F$52-'Cover &amp; Assumptions'!$F$49,'Cover &amp; Assumptions'!$F$48*0.15,MIN('Cover &amp; Assumptions'!$F$48,'Cover &amp; Assumptions'!$F$48*M9/'Cover &amp; Assumptions'!$F$51)))</f>
        <v>0.2</v>
      </c>
      <c r="N10" s="34" t="n">
        <f aca="false">IF(N9&lt;0,0,IF(N9&gt;='Cover &amp; Assumptions'!$F$52-'Cover &amp; Assumptions'!$F$49,'Cover &amp; Assumptions'!$F$48*0.15,MIN('Cover &amp; Assumptions'!$F$48,'Cover &amp; Assumptions'!$F$48*N9/'Cover &amp; Assumptions'!$F$51)))</f>
        <v>0.2</v>
      </c>
      <c r="O10" s="34" t="n">
        <f aca="false">IF(O9&lt;0,0,IF(O9&gt;='Cover &amp; Assumptions'!$F$52-'Cover &amp; Assumptions'!$F$49,'Cover &amp; Assumptions'!$F$48*0.15,MIN('Cover &amp; Assumptions'!$F$48,'Cover &amp; Assumptions'!$F$48*O9/'Cover &amp; Assumptions'!$F$51)))</f>
        <v>0.2</v>
      </c>
      <c r="P10" s="34" t="n">
        <f aca="false">IF(P9&lt;0,0,IF(P9&gt;='Cover &amp; Assumptions'!$F$52-'Cover &amp; Assumptions'!$F$49,'Cover &amp; Assumptions'!$F$48*0.15,MIN('Cover &amp; Assumptions'!$F$48,'Cover &amp; Assumptions'!$F$48*P9/'Cover &amp; Assumptions'!$F$51)))</f>
        <v>0.2</v>
      </c>
      <c r="Q10" s="34" t="n">
        <f aca="false">IF(Q9&lt;0,0,IF(Q9&gt;='Cover &amp; Assumptions'!$F$52-'Cover &amp; Assumptions'!$F$49,'Cover &amp; Assumptions'!$F$48*0.15,MIN('Cover &amp; Assumptions'!$F$48,'Cover &amp; Assumptions'!$F$48*Q9/'Cover &amp; Assumptions'!$F$51)))</f>
        <v>0.03</v>
      </c>
      <c r="R10" s="34" t="n">
        <f aca="false">IF(R9&lt;0,0,IF(R9&gt;='Cover &amp; Assumptions'!$F$52-'Cover &amp; Assumptions'!$F$49,'Cover &amp; Assumptions'!$F$48*0.15,MIN('Cover &amp; Assumptions'!$F$48,'Cover &amp; Assumptions'!$F$48*R9/'Cover &amp; Assumptions'!$F$51)))</f>
        <v>0.03</v>
      </c>
      <c r="S10" s="34" t="n">
        <f aca="false">IF(S9&lt;0,0,IF(S9&gt;='Cover &amp; Assumptions'!$F$52-'Cover &amp; Assumptions'!$F$49,'Cover &amp; Assumptions'!$F$48*0.15,MIN('Cover &amp; Assumptions'!$F$48,'Cover &amp; Assumptions'!$F$48*S9/'Cover &amp; Assumptions'!$F$51)))</f>
        <v>0.03</v>
      </c>
      <c r="T10" s="34" t="n">
        <f aca="false">IF(T9&lt;0,0,IF(T9&gt;='Cover &amp; Assumptions'!$F$52-'Cover &amp; Assumptions'!$F$49,'Cover &amp; Assumptions'!$F$48*0.15,MIN('Cover &amp; Assumptions'!$F$48,'Cover &amp; Assumptions'!$F$48*T9/'Cover &amp; Assumptions'!$F$51)))</f>
        <v>0.03</v>
      </c>
      <c r="U10" s="34" t="n">
        <f aca="false">IF(U9&lt;0,0,IF(U9&gt;='Cover &amp; Assumptions'!$F$52-'Cover &amp; Assumptions'!$F$49,'Cover &amp; Assumptions'!$F$48*0.15,MIN('Cover &amp; Assumptions'!$F$48,'Cover &amp; Assumptions'!$F$48*U9/'Cover &amp; Assumptions'!$F$51)))</f>
        <v>0.03</v>
      </c>
      <c r="V10" s="34" t="n">
        <f aca="false">IF(V9&lt;0,0,IF(V9&gt;='Cover &amp; Assumptions'!$F$52-'Cover &amp; Assumptions'!$F$49,'Cover &amp; Assumptions'!$F$48*0.15,MIN('Cover &amp; Assumptions'!$F$48,'Cover &amp; Assumptions'!$F$48*V9/'Cover &amp; Assumptions'!$F$51)))</f>
        <v>0.03</v>
      </c>
    </row>
    <row r="11" customFormat="false" ht="15" hidden="false" customHeight="true" outlineLevel="0" collapsed="false">
      <c r="B11" s="7" t="s">
        <v>144</v>
      </c>
      <c r="C11" s="35" t="n">
        <f aca="false">'Cover &amp; Assumptions'!$F$45*C10</f>
        <v>0</v>
      </c>
      <c r="D11" s="35" t="n">
        <f aca="false">'Cover &amp; Assumptions'!$F$45*D10</f>
        <v>0</v>
      </c>
      <c r="E11" s="35" t="n">
        <f aca="false">'Cover &amp; Assumptions'!$F$45*E10</f>
        <v>0</v>
      </c>
      <c r="F11" s="35" t="n">
        <f aca="false">'Cover &amp; Assumptions'!$F$45*F10</f>
        <v>0</v>
      </c>
      <c r="G11" s="35" t="n">
        <f aca="false">'Cover &amp; Assumptions'!$F$45*G10</f>
        <v>0</v>
      </c>
      <c r="H11" s="35" t="n">
        <f aca="false">'Cover &amp; Assumptions'!$F$45*H10</f>
        <v>0</v>
      </c>
      <c r="I11" s="35" t="n">
        <f aca="false">'Cover &amp; Assumptions'!$F$45*I10</f>
        <v>18</v>
      </c>
      <c r="J11" s="35" t="n">
        <f aca="false">'Cover &amp; Assumptions'!$F$45*J10</f>
        <v>36</v>
      </c>
      <c r="K11" s="35" t="n">
        <f aca="false">'Cover &amp; Assumptions'!$F$45*K10</f>
        <v>54</v>
      </c>
      <c r="L11" s="35" t="n">
        <f aca="false">'Cover &amp; Assumptions'!$F$45*L10</f>
        <v>72</v>
      </c>
      <c r="M11" s="35" t="n">
        <f aca="false">'Cover &amp; Assumptions'!$F$45*M10</f>
        <v>90</v>
      </c>
      <c r="N11" s="35" t="n">
        <f aca="false">'Cover &amp; Assumptions'!$F$45*N10</f>
        <v>90</v>
      </c>
      <c r="O11" s="35" t="n">
        <f aca="false">'Cover &amp; Assumptions'!$F$45*O10</f>
        <v>90</v>
      </c>
      <c r="P11" s="35" t="n">
        <f aca="false">'Cover &amp; Assumptions'!$F$45*P10</f>
        <v>90</v>
      </c>
      <c r="Q11" s="35" t="n">
        <f aca="false">'Cover &amp; Assumptions'!$F$45*Q10</f>
        <v>13.5</v>
      </c>
      <c r="R11" s="35" t="n">
        <f aca="false">'Cover &amp; Assumptions'!$F$45*R10</f>
        <v>13.5</v>
      </c>
      <c r="S11" s="35" t="n">
        <f aca="false">'Cover &amp; Assumptions'!$F$45*S10</f>
        <v>13.5</v>
      </c>
      <c r="T11" s="35" t="n">
        <f aca="false">'Cover &amp; Assumptions'!$F$45*T10</f>
        <v>13.5</v>
      </c>
      <c r="U11" s="35" t="n">
        <f aca="false">'Cover &amp; Assumptions'!$F$45*U10</f>
        <v>13.5</v>
      </c>
      <c r="V11" s="35" t="n">
        <f aca="false">'Cover &amp; Assumptions'!$F$45*V10</f>
        <v>13.5</v>
      </c>
    </row>
    <row r="12" customFormat="false" ht="15" hidden="false" customHeight="true" outlineLevel="0" collapsed="false">
      <c r="B12" s="7" t="s">
        <v>145</v>
      </c>
      <c r="C12" s="36" t="n">
        <f aca="false">C11*1000*'Cover &amp; Assumptions'!$F$47/1000000</f>
        <v>0</v>
      </c>
      <c r="D12" s="36" t="n">
        <f aca="false">D11*1000*'Cover &amp; Assumptions'!$F$47/1000000</f>
        <v>0</v>
      </c>
      <c r="E12" s="36" t="n">
        <f aca="false">E11*1000*'Cover &amp; Assumptions'!$F$47/1000000</f>
        <v>0</v>
      </c>
      <c r="F12" s="36" t="n">
        <f aca="false">F11*1000*'Cover &amp; Assumptions'!$F$47/1000000</f>
        <v>0</v>
      </c>
      <c r="G12" s="36" t="n">
        <f aca="false">G11*1000*'Cover &amp; Assumptions'!$F$47/1000000</f>
        <v>0</v>
      </c>
      <c r="H12" s="36" t="n">
        <f aca="false">H11*1000*'Cover &amp; Assumptions'!$F$47/1000000</f>
        <v>0</v>
      </c>
      <c r="I12" s="36" t="n">
        <f aca="false">I11*1000*'Cover &amp; Assumptions'!$F$47/1000000</f>
        <v>162</v>
      </c>
      <c r="J12" s="36" t="n">
        <f aca="false">J11*1000*'Cover &amp; Assumptions'!$F$47/1000000</f>
        <v>324</v>
      </c>
      <c r="K12" s="36" t="n">
        <f aca="false">K11*1000*'Cover &amp; Assumptions'!$F$47/1000000</f>
        <v>486</v>
      </c>
      <c r="L12" s="36" t="n">
        <f aca="false">L11*1000*'Cover &amp; Assumptions'!$F$47/1000000</f>
        <v>648</v>
      </c>
      <c r="M12" s="36" t="n">
        <f aca="false">M11*1000*'Cover &amp; Assumptions'!$F$47/1000000</f>
        <v>810</v>
      </c>
      <c r="N12" s="36" t="n">
        <f aca="false">N11*1000*'Cover &amp; Assumptions'!$F$47/1000000</f>
        <v>810</v>
      </c>
      <c r="O12" s="36" t="n">
        <f aca="false">O11*1000*'Cover &amp; Assumptions'!$F$47/1000000</f>
        <v>810</v>
      </c>
      <c r="P12" s="36" t="n">
        <f aca="false">P11*1000*'Cover &amp; Assumptions'!$F$47/1000000</f>
        <v>810</v>
      </c>
      <c r="Q12" s="36" t="n">
        <f aca="false">Q11*1000*'Cover &amp; Assumptions'!$F$47/1000000</f>
        <v>121.5</v>
      </c>
      <c r="R12" s="36" t="n">
        <f aca="false">R11*1000*'Cover &amp; Assumptions'!$F$47/1000000</f>
        <v>121.5</v>
      </c>
      <c r="S12" s="36" t="n">
        <f aca="false">S11*1000*'Cover &amp; Assumptions'!$F$47/1000000</f>
        <v>121.5</v>
      </c>
      <c r="T12" s="36" t="n">
        <f aca="false">T11*1000*'Cover &amp; Assumptions'!$F$47/1000000</f>
        <v>121.5</v>
      </c>
      <c r="U12" s="36" t="n">
        <f aca="false">U11*1000*'Cover &amp; Assumptions'!$F$47/1000000</f>
        <v>121.5</v>
      </c>
      <c r="V12" s="36" t="n">
        <f aca="false">V11*1000*'Cover &amp; Assumptions'!$F$47/1000000</f>
        <v>121.5</v>
      </c>
    </row>
    <row r="13" customFormat="false" ht="15" hidden="false" customHeight="true" outlineLevel="0" collapsed="false">
      <c r="B13" s="7" t="s">
        <v>146</v>
      </c>
      <c r="C13" s="36" t="n">
        <f aca="false">-C12*'Cover &amp; Assumptions'!$F$53</f>
        <v>-0</v>
      </c>
      <c r="D13" s="36" t="n">
        <f aca="false">-D12*'Cover &amp; Assumptions'!$F$53</f>
        <v>-0</v>
      </c>
      <c r="E13" s="36" t="n">
        <f aca="false">-E12*'Cover &amp; Assumptions'!$F$53</f>
        <v>-0</v>
      </c>
      <c r="F13" s="36" t="n">
        <f aca="false">-F12*'Cover &amp; Assumptions'!$F$53</f>
        <v>-0</v>
      </c>
      <c r="G13" s="36" t="n">
        <f aca="false">-G12*'Cover &amp; Assumptions'!$F$53</f>
        <v>-0</v>
      </c>
      <c r="H13" s="36" t="n">
        <f aca="false">-H12*'Cover &amp; Assumptions'!$F$53</f>
        <v>-0</v>
      </c>
      <c r="I13" s="36" t="n">
        <f aca="false">-I12*'Cover &amp; Assumptions'!$F$53</f>
        <v>-24.3</v>
      </c>
      <c r="J13" s="36" t="n">
        <f aca="false">-J12*'Cover &amp; Assumptions'!$F$53</f>
        <v>-48.6</v>
      </c>
      <c r="K13" s="36" t="n">
        <f aca="false">-K12*'Cover &amp; Assumptions'!$F$53</f>
        <v>-72.9</v>
      </c>
      <c r="L13" s="36" t="n">
        <f aca="false">-L12*'Cover &amp; Assumptions'!$F$53</f>
        <v>-97.2</v>
      </c>
      <c r="M13" s="36" t="n">
        <f aca="false">-M12*'Cover &amp; Assumptions'!$F$53</f>
        <v>-121.5</v>
      </c>
      <c r="N13" s="36" t="n">
        <f aca="false">-N12*'Cover &amp; Assumptions'!$F$53</f>
        <v>-121.5</v>
      </c>
      <c r="O13" s="36" t="n">
        <f aca="false">-O12*'Cover &amp; Assumptions'!$F$53</f>
        <v>-121.5</v>
      </c>
      <c r="P13" s="36" t="n">
        <f aca="false">-P12*'Cover &amp; Assumptions'!$F$53</f>
        <v>-121.5</v>
      </c>
      <c r="Q13" s="36" t="n">
        <f aca="false">-Q12*'Cover &amp; Assumptions'!$F$53</f>
        <v>-18.225</v>
      </c>
      <c r="R13" s="36" t="n">
        <f aca="false">-R12*'Cover &amp; Assumptions'!$F$53</f>
        <v>-18.225</v>
      </c>
      <c r="S13" s="36" t="n">
        <f aca="false">-S12*'Cover &amp; Assumptions'!$F$53</f>
        <v>-18.225</v>
      </c>
      <c r="T13" s="36" t="n">
        <f aca="false">-T12*'Cover &amp; Assumptions'!$F$53</f>
        <v>-18.225</v>
      </c>
      <c r="U13" s="36" t="n">
        <f aca="false">-U12*'Cover &amp; Assumptions'!$F$53</f>
        <v>-18.225</v>
      </c>
      <c r="V13" s="36" t="n">
        <f aca="false">-V12*'Cover &amp; Assumptions'!$F$53</f>
        <v>-18.225</v>
      </c>
    </row>
    <row r="14" customFormat="false" ht="15" hidden="false" customHeight="true" outlineLevel="0" collapsed="false">
      <c r="B14" s="7" t="s">
        <v>147</v>
      </c>
      <c r="C14" s="36" t="n">
        <f aca="false">IF(AND(C9&lt;0,C9&gt;=-2),-8,IF(C12&gt;0,-C12*'Cover &amp; Assumptions'!$F$54,0))</f>
        <v>0</v>
      </c>
      <c r="D14" s="36" t="n">
        <f aca="false">IF(AND(D9&lt;0,D9&gt;=-2),-8,IF(D12&gt;0,-D12*'Cover &amp; Assumptions'!$F$54,0))</f>
        <v>0</v>
      </c>
      <c r="E14" s="36" t="n">
        <f aca="false">IF(AND(E9&lt;0,E9&gt;=-2),-8,IF(E12&gt;0,-E12*'Cover &amp; Assumptions'!$F$54,0))</f>
        <v>0</v>
      </c>
      <c r="F14" s="36" t="n">
        <f aca="false">IF(AND(F9&lt;0,F9&gt;=-2),-8,IF(F12&gt;0,-F12*'Cover &amp; Assumptions'!$F$54,0))</f>
        <v>-8</v>
      </c>
      <c r="G14" s="36" t="n">
        <f aca="false">IF(AND(G9&lt;0,G9&gt;=-2),-8,IF(G12&gt;0,-G12*'Cover &amp; Assumptions'!$F$54,0))</f>
        <v>-8</v>
      </c>
      <c r="H14" s="36" t="n">
        <f aca="false">IF(AND(H9&lt;0,H9&gt;=-2),-8,IF(H12&gt;0,-H12*'Cover &amp; Assumptions'!$F$54,0))</f>
        <v>0</v>
      </c>
      <c r="I14" s="36" t="n">
        <f aca="false">IF(AND(I9&lt;0,I9&gt;=-2),-8,IF(I12&gt;0,-I12*'Cover &amp; Assumptions'!$F$54,0))</f>
        <v>-45.36</v>
      </c>
      <c r="J14" s="36" t="n">
        <f aca="false">IF(AND(J9&lt;0,J9&gt;=-2),-8,IF(J12&gt;0,-J12*'Cover &amp; Assumptions'!$F$54,0))</f>
        <v>-90.72</v>
      </c>
      <c r="K14" s="36" t="n">
        <f aca="false">IF(AND(K9&lt;0,K9&gt;=-2),-8,IF(K12&gt;0,-K12*'Cover &amp; Assumptions'!$F$54,0))</f>
        <v>-136.08</v>
      </c>
      <c r="L14" s="36" t="n">
        <f aca="false">IF(AND(L9&lt;0,L9&gt;=-2),-8,IF(L12&gt;0,-L12*'Cover &amp; Assumptions'!$F$54,0))</f>
        <v>-181.44</v>
      </c>
      <c r="M14" s="36" t="n">
        <f aca="false">IF(AND(M9&lt;0,M9&gt;=-2),-8,IF(M12&gt;0,-M12*'Cover &amp; Assumptions'!$F$54,0))</f>
        <v>-226.8</v>
      </c>
      <c r="N14" s="36" t="n">
        <f aca="false">IF(AND(N9&lt;0,N9&gt;=-2),-8,IF(N12&gt;0,-N12*'Cover &amp; Assumptions'!$F$54,0))</f>
        <v>-226.8</v>
      </c>
      <c r="O14" s="36" t="n">
        <f aca="false">IF(AND(O9&lt;0,O9&gt;=-2),-8,IF(O12&gt;0,-O12*'Cover &amp; Assumptions'!$F$54,0))</f>
        <v>-226.8</v>
      </c>
      <c r="P14" s="36" t="n">
        <f aca="false">IF(AND(P9&lt;0,P9&gt;=-2),-8,IF(P12&gt;0,-P12*'Cover &amp; Assumptions'!$F$54,0))</f>
        <v>-226.8</v>
      </c>
      <c r="Q14" s="36" t="n">
        <f aca="false">IF(AND(Q9&lt;0,Q9&gt;=-2),-8,IF(Q12&gt;0,-Q12*'Cover &amp; Assumptions'!$F$54,0))</f>
        <v>-34.02</v>
      </c>
      <c r="R14" s="36" t="n">
        <f aca="false">IF(AND(R9&lt;0,R9&gt;=-2),-8,IF(R12&gt;0,-R12*'Cover &amp; Assumptions'!$F$54,0))</f>
        <v>-34.02</v>
      </c>
      <c r="S14" s="36" t="n">
        <f aca="false">IF(AND(S9&lt;0,S9&gt;=-2),-8,IF(S12&gt;0,-S12*'Cover &amp; Assumptions'!$F$54,0))</f>
        <v>-34.02</v>
      </c>
      <c r="T14" s="36" t="n">
        <f aca="false">IF(AND(T9&lt;0,T9&gt;=-2),-8,IF(T12&gt;0,-T12*'Cover &amp; Assumptions'!$F$54,0))</f>
        <v>-34.02</v>
      </c>
      <c r="U14" s="36" t="n">
        <f aca="false">IF(AND(U9&lt;0,U9&gt;=-2),-8,IF(U12&gt;0,-U12*'Cover &amp; Assumptions'!$F$54,0))</f>
        <v>-34.02</v>
      </c>
      <c r="V14" s="36" t="n">
        <f aca="false">IF(AND(V9&lt;0,V9&gt;=-2),-8,IF(V12&gt;0,-V12*'Cover &amp; Assumptions'!$F$54,0))</f>
        <v>-34.02</v>
      </c>
    </row>
    <row r="15" customFormat="false" ht="15" hidden="false" customHeight="true" outlineLevel="0" collapsed="false">
      <c r="B15" s="7" t="s">
        <v>148</v>
      </c>
      <c r="C15" s="36" t="n">
        <f aca="false">-C12*0.05</f>
        <v>-0</v>
      </c>
      <c r="D15" s="36" t="n">
        <f aca="false">-D12*0.05</f>
        <v>-0</v>
      </c>
      <c r="E15" s="36" t="n">
        <f aca="false">-E12*0.05</f>
        <v>-0</v>
      </c>
      <c r="F15" s="36" t="n">
        <f aca="false">-F12*0.05</f>
        <v>-0</v>
      </c>
      <c r="G15" s="36" t="n">
        <f aca="false">-G12*0.05</f>
        <v>-0</v>
      </c>
      <c r="H15" s="36" t="n">
        <f aca="false">-H12*0.05</f>
        <v>-0</v>
      </c>
      <c r="I15" s="36" t="n">
        <f aca="false">-I12*0.05</f>
        <v>-8.1</v>
      </c>
      <c r="J15" s="36" t="n">
        <f aca="false">-J12*0.05</f>
        <v>-16.2</v>
      </c>
      <c r="K15" s="36" t="n">
        <f aca="false">-K12*0.05</f>
        <v>-24.3</v>
      </c>
      <c r="L15" s="36" t="n">
        <f aca="false">-L12*0.05</f>
        <v>-32.4</v>
      </c>
      <c r="M15" s="36" t="n">
        <f aca="false">-M12*0.05</f>
        <v>-40.5</v>
      </c>
      <c r="N15" s="36" t="n">
        <f aca="false">-N12*0.05</f>
        <v>-40.5</v>
      </c>
      <c r="O15" s="36" t="n">
        <f aca="false">-O12*0.05</f>
        <v>-40.5</v>
      </c>
      <c r="P15" s="36" t="n">
        <f aca="false">-P12*0.05</f>
        <v>-40.5</v>
      </c>
      <c r="Q15" s="36" t="n">
        <f aca="false">-Q12*0.05</f>
        <v>-6.075</v>
      </c>
      <c r="R15" s="36" t="n">
        <f aca="false">-R12*0.05</f>
        <v>-6.075</v>
      </c>
      <c r="S15" s="36" t="n">
        <f aca="false">-S12*0.05</f>
        <v>-6.075</v>
      </c>
      <c r="T15" s="36" t="n">
        <f aca="false">-T12*0.05</f>
        <v>-6.075</v>
      </c>
      <c r="U15" s="36" t="n">
        <f aca="false">-U12*0.05</f>
        <v>-6.075</v>
      </c>
      <c r="V15" s="36" t="n">
        <f aca="false">-V12*0.05</f>
        <v>-6.075</v>
      </c>
    </row>
    <row r="16" customFormat="false" ht="15" hidden="false" customHeight="true" outlineLevel="0" collapsed="false">
      <c r="B16" s="7" t="s">
        <v>149</v>
      </c>
      <c r="C16" s="36" t="n">
        <f aca="false">IF(AND(C9&lt;0,C9&gt;=-3),-40,0)</f>
        <v>0</v>
      </c>
      <c r="D16" s="36" t="n">
        <f aca="false">IF(AND(D9&lt;0,D9&gt;=-3),-40,0)</f>
        <v>0</v>
      </c>
      <c r="E16" s="36" t="n">
        <f aca="false">IF(AND(E9&lt;0,E9&gt;=-3),-40,0)</f>
        <v>-40</v>
      </c>
      <c r="F16" s="36" t="n">
        <f aca="false">IF(AND(F9&lt;0,F9&gt;=-3),-40,0)</f>
        <v>-40</v>
      </c>
      <c r="G16" s="36" t="n">
        <f aca="false">IF(AND(G9&lt;0,G9&gt;=-3),-40,0)</f>
        <v>-40</v>
      </c>
      <c r="H16" s="36" t="n">
        <f aca="false">IF(AND(H9&lt;0,H9&gt;=-3),-40,0)</f>
        <v>0</v>
      </c>
      <c r="I16" s="36" t="n">
        <f aca="false">IF(AND(I9&lt;0,I9&gt;=-3),-40,0)</f>
        <v>0</v>
      </c>
      <c r="J16" s="36" t="n">
        <f aca="false">IF(AND(J9&lt;0,J9&gt;=-3),-40,0)</f>
        <v>0</v>
      </c>
      <c r="K16" s="36" t="n">
        <f aca="false">IF(AND(K9&lt;0,K9&gt;=-3),-40,0)</f>
        <v>0</v>
      </c>
      <c r="L16" s="36" t="n">
        <f aca="false">IF(AND(L9&lt;0,L9&gt;=-3),-40,0)</f>
        <v>0</v>
      </c>
      <c r="M16" s="36" t="n">
        <f aca="false">IF(AND(M9&lt;0,M9&gt;=-3),-40,0)</f>
        <v>0</v>
      </c>
      <c r="N16" s="36" t="n">
        <f aca="false">IF(AND(N9&lt;0,N9&gt;=-3),-40,0)</f>
        <v>0</v>
      </c>
      <c r="O16" s="36" t="n">
        <f aca="false">IF(AND(O9&lt;0,O9&gt;=-3),-40,0)</f>
        <v>0</v>
      </c>
      <c r="P16" s="36" t="n">
        <f aca="false">IF(AND(P9&lt;0,P9&gt;=-3),-40,0)</f>
        <v>0</v>
      </c>
      <c r="Q16" s="36" t="n">
        <f aca="false">IF(AND(Q9&lt;0,Q9&gt;=-3),-40,0)</f>
        <v>0</v>
      </c>
      <c r="R16" s="36" t="n">
        <f aca="false">IF(AND(R9&lt;0,R9&gt;=-3),-40,0)</f>
        <v>0</v>
      </c>
      <c r="S16" s="36" t="n">
        <f aca="false">IF(AND(S9&lt;0,S9&gt;=-3),-40,0)</f>
        <v>0</v>
      </c>
      <c r="T16" s="36" t="n">
        <f aca="false">IF(AND(T9&lt;0,T9&gt;=-3),-40,0)</f>
        <v>0</v>
      </c>
      <c r="U16" s="36" t="n">
        <f aca="false">IF(AND(U9&lt;0,U9&gt;=-3),-40,0)</f>
        <v>0</v>
      </c>
      <c r="V16" s="36" t="n">
        <f aca="false">IF(AND(V9&lt;0,V9&gt;=-3),-40,0)</f>
        <v>0</v>
      </c>
    </row>
    <row r="17" customFormat="false" ht="15" hidden="false" customHeight="true" outlineLevel="0" collapsed="false">
      <c r="B17" s="17" t="s">
        <v>150</v>
      </c>
      <c r="C17" s="37" t="n">
        <f aca="false">C12+C13+C14+C15+C16</f>
        <v>0</v>
      </c>
      <c r="D17" s="37" t="n">
        <f aca="false">D12+D13+D14+D15+D16</f>
        <v>0</v>
      </c>
      <c r="E17" s="37" t="n">
        <f aca="false">E12+E13+E14+E15+E16</f>
        <v>-40</v>
      </c>
      <c r="F17" s="37" t="n">
        <f aca="false">F12+F13+F14+F15+F16</f>
        <v>-48</v>
      </c>
      <c r="G17" s="37" t="n">
        <f aca="false">G12+G13+G14+G15+G16</f>
        <v>-48</v>
      </c>
      <c r="H17" s="37" t="n">
        <f aca="false">H12+H13+H14+H15+H16</f>
        <v>0</v>
      </c>
      <c r="I17" s="37" t="n">
        <f aca="false">I12+I13+I14+I15+I16</f>
        <v>84.24</v>
      </c>
      <c r="J17" s="37" t="n">
        <f aca="false">J12+J13+J14+J15+J16</f>
        <v>168.48</v>
      </c>
      <c r="K17" s="37" t="n">
        <f aca="false">K12+K13+K14+K15+K16</f>
        <v>252.72</v>
      </c>
      <c r="L17" s="37" t="n">
        <f aca="false">L12+L13+L14+L15+L16</f>
        <v>336.96</v>
      </c>
      <c r="M17" s="37" t="n">
        <f aca="false">M12+M13+M14+M15+M16</f>
        <v>421.2</v>
      </c>
      <c r="N17" s="37" t="n">
        <f aca="false">N12+N13+N14+N15+N16</f>
        <v>421.2</v>
      </c>
      <c r="O17" s="37" t="n">
        <f aca="false">O12+O13+O14+O15+O16</f>
        <v>421.2</v>
      </c>
      <c r="P17" s="37" t="n">
        <f aca="false">P12+P13+P14+P15+P16</f>
        <v>421.2</v>
      </c>
      <c r="Q17" s="37" t="n">
        <f aca="false">Q12+Q13+Q14+Q15+Q16</f>
        <v>63.18</v>
      </c>
      <c r="R17" s="37" t="n">
        <f aca="false">R12+R13+R14+R15+R16</f>
        <v>63.18</v>
      </c>
      <c r="S17" s="37" t="n">
        <f aca="false">S12+S13+S14+S15+S16</f>
        <v>63.18</v>
      </c>
      <c r="T17" s="37" t="n">
        <f aca="false">T12+T13+T14+T15+T16</f>
        <v>63.18</v>
      </c>
      <c r="U17" s="37" t="n">
        <f aca="false">U12+U13+U14+U15+U16</f>
        <v>63.18</v>
      </c>
      <c r="V17" s="37" t="n">
        <f aca="false">V12+V13+V14+V15+V16</f>
        <v>63.18</v>
      </c>
    </row>
    <row r="18" customFormat="false" ht="32.25" hidden="false" customHeight="true" outlineLevel="0" collapsed="false">
      <c r="B18" s="7" t="s">
        <v>151</v>
      </c>
      <c r="C18" s="21" t="n">
        <v>0</v>
      </c>
      <c r="D18" s="21" t="n">
        <v>0</v>
      </c>
      <c r="E18" s="21" t="n">
        <v>0</v>
      </c>
      <c r="F18" s="21" t="n">
        <v>0</v>
      </c>
      <c r="G18" s="21" t="n">
        <v>0</v>
      </c>
      <c r="H18" s="21" t="n">
        <v>0</v>
      </c>
      <c r="I18" s="21" t="n">
        <v>0</v>
      </c>
      <c r="J18" s="21" t="n">
        <v>0</v>
      </c>
      <c r="K18" s="21" t="n">
        <v>0.21</v>
      </c>
      <c r="L18" s="21" t="n">
        <v>0.21</v>
      </c>
      <c r="M18" s="21" t="n">
        <v>0.21</v>
      </c>
      <c r="N18" s="21" t="n">
        <v>0.21</v>
      </c>
      <c r="O18" s="21" t="n">
        <v>0.21</v>
      </c>
      <c r="P18" s="21" t="n">
        <v>0.21</v>
      </c>
      <c r="Q18" s="21" t="n">
        <v>0.21</v>
      </c>
      <c r="R18" s="21" t="n">
        <v>0.21</v>
      </c>
      <c r="S18" s="21" t="n">
        <v>0.21</v>
      </c>
      <c r="T18" s="21" t="n">
        <v>0.21</v>
      </c>
      <c r="U18" s="21" t="n">
        <v>0.21</v>
      </c>
      <c r="V18" s="21" t="n">
        <v>0.21</v>
      </c>
      <c r="X18" s="9" t="s">
        <v>152</v>
      </c>
    </row>
    <row r="19" customFormat="false" ht="15" hidden="false" customHeight="true" outlineLevel="0" collapsed="false">
      <c r="B19" s="17" t="s">
        <v>153</v>
      </c>
      <c r="C19" s="37" t="n">
        <f aca="false">IF(C17&gt;0,C17*(1-C18),C17)</f>
        <v>0</v>
      </c>
      <c r="D19" s="37" t="n">
        <f aca="false">IF(D17&gt;0,D17*(1-D18),D17)</f>
        <v>0</v>
      </c>
      <c r="E19" s="37" t="n">
        <f aca="false">IF(E17&gt;0,E17*(1-E18),E17)</f>
        <v>-40</v>
      </c>
      <c r="F19" s="37" t="n">
        <f aca="false">IF(F17&gt;0,F17*(1-F18),F17)</f>
        <v>-48</v>
      </c>
      <c r="G19" s="37" t="n">
        <f aca="false">IF(G17&gt;0,G17*(1-G18),G17)</f>
        <v>-48</v>
      </c>
      <c r="H19" s="37" t="n">
        <f aca="false">IF(H17&gt;0,H17*(1-H18),H17)</f>
        <v>0</v>
      </c>
      <c r="I19" s="37" t="n">
        <f aca="false">IF(I17&gt;0,I17*(1-I18),I17)</f>
        <v>84.24</v>
      </c>
      <c r="J19" s="37" t="n">
        <f aca="false">IF(J17&gt;0,J17*(1-J18),J17)</f>
        <v>168.48</v>
      </c>
      <c r="K19" s="37" t="n">
        <f aca="false">IF(K17&gt;0,K17*(1-K18),K17)</f>
        <v>199.6488</v>
      </c>
      <c r="L19" s="37" t="n">
        <f aca="false">IF(L17&gt;0,L17*(1-L18),L17)</f>
        <v>266.1984</v>
      </c>
      <c r="M19" s="37" t="n">
        <f aca="false">IF(M17&gt;0,M17*(1-M18),M17)</f>
        <v>332.748</v>
      </c>
      <c r="N19" s="37" t="n">
        <f aca="false">IF(N17&gt;0,N17*(1-N18),N17)</f>
        <v>332.748</v>
      </c>
      <c r="O19" s="37" t="n">
        <f aca="false">IF(O17&gt;0,O17*(1-O18),O17)</f>
        <v>332.748</v>
      </c>
      <c r="P19" s="37" t="n">
        <f aca="false">IF(P17&gt;0,P17*(1-P18),P17)</f>
        <v>332.748</v>
      </c>
      <c r="Q19" s="37" t="n">
        <f aca="false">IF(Q17&gt;0,Q17*(1-Q18),Q17)</f>
        <v>49.9122</v>
      </c>
      <c r="R19" s="37" t="n">
        <f aca="false">IF(R17&gt;0,R17*(1-R18),R17)</f>
        <v>49.9122</v>
      </c>
      <c r="S19" s="37" t="n">
        <f aca="false">IF(S17&gt;0,S17*(1-S18),S17)</f>
        <v>49.9122</v>
      </c>
      <c r="T19" s="37" t="n">
        <f aca="false">IF(T17&gt;0,T17*(1-T18),T17)</f>
        <v>49.9122</v>
      </c>
      <c r="U19" s="37" t="n">
        <f aca="false">IF(U17&gt;0,U17*(1-U18),U17)</f>
        <v>49.9122</v>
      </c>
      <c r="V19" s="37" t="n">
        <f aca="false">IF(V17&gt;0,V17*(1-V18),V17)</f>
        <v>49.9122</v>
      </c>
    </row>
    <row r="20" customFormat="false" ht="15" hidden="false" customHeight="true" outlineLevel="0" collapsed="false">
      <c r="B20" s="7" t="s">
        <v>154</v>
      </c>
      <c r="C20" s="34" t="n">
        <f aca="false">'Cover &amp; Assumptions'!$F$42*'Cover &amp; Assumptions'!$F$43</f>
        <v>0.3</v>
      </c>
      <c r="D20" s="34"/>
      <c r="E20" s="34"/>
      <c r="F20" s="34"/>
      <c r="G20" s="34"/>
      <c r="H20" s="34"/>
      <c r="I20" s="34"/>
      <c r="J20" s="34"/>
      <c r="K20" s="34"/>
      <c r="L20" s="34"/>
      <c r="M20" s="34"/>
      <c r="N20" s="34"/>
      <c r="O20" s="34"/>
      <c r="P20" s="34"/>
      <c r="Q20" s="34"/>
      <c r="R20" s="34"/>
      <c r="S20" s="34"/>
      <c r="T20" s="34"/>
      <c r="U20" s="34"/>
      <c r="V20" s="34"/>
    </row>
    <row r="21" customFormat="false" ht="15" hidden="false" customHeight="true" outlineLevel="0" collapsed="false">
      <c r="B21" s="38" t="s">
        <v>155</v>
      </c>
      <c r="C21" s="26" t="n">
        <f aca="false">C19*$C$20</f>
        <v>0</v>
      </c>
      <c r="D21" s="26" t="n">
        <f aca="false">D19*$C$20</f>
        <v>0</v>
      </c>
      <c r="E21" s="26" t="n">
        <f aca="false">E19*$C$20</f>
        <v>-12</v>
      </c>
      <c r="F21" s="26" t="n">
        <f aca="false">F19*$C$20</f>
        <v>-14.4</v>
      </c>
      <c r="G21" s="26" t="n">
        <f aca="false">G19*$C$20</f>
        <v>-14.4</v>
      </c>
      <c r="H21" s="26" t="n">
        <f aca="false">H19*$C$20</f>
        <v>0</v>
      </c>
      <c r="I21" s="26" t="n">
        <f aca="false">I19*$C$20</f>
        <v>25.272</v>
      </c>
      <c r="J21" s="26" t="n">
        <f aca="false">J19*$C$20</f>
        <v>50.544</v>
      </c>
      <c r="K21" s="26" t="n">
        <f aca="false">K19*$C$20</f>
        <v>59.89464</v>
      </c>
      <c r="L21" s="26" t="n">
        <f aca="false">L19*$C$20</f>
        <v>79.85952</v>
      </c>
      <c r="M21" s="26" t="n">
        <f aca="false">M19*$C$20</f>
        <v>99.8244</v>
      </c>
      <c r="N21" s="26" t="n">
        <f aca="false">N19*$C$20</f>
        <v>99.8244</v>
      </c>
      <c r="O21" s="26" t="n">
        <f aca="false">O19*$C$20</f>
        <v>99.8244</v>
      </c>
      <c r="P21" s="26" t="n">
        <f aca="false">P19*$C$20</f>
        <v>99.8244</v>
      </c>
      <c r="Q21" s="26" t="n">
        <f aca="false">Q19*$C$20</f>
        <v>14.97366</v>
      </c>
      <c r="R21" s="26" t="n">
        <f aca="false">R19*$C$20</f>
        <v>14.97366</v>
      </c>
      <c r="S21" s="26" t="n">
        <f aca="false">S19*$C$20</f>
        <v>14.97366</v>
      </c>
      <c r="T21" s="26" t="n">
        <f aca="false">T19*$C$20</f>
        <v>14.97366</v>
      </c>
      <c r="U21" s="26" t="n">
        <f aca="false">U19*$C$20</f>
        <v>14.97366</v>
      </c>
      <c r="V21" s="26" t="n">
        <f aca="false">V19*$C$20</f>
        <v>14.97366</v>
      </c>
    </row>
    <row r="22" customFormat="false" ht="15" hidden="false" customHeight="true" outlineLevel="0" collapsed="false">
      <c r="B22" s="7" t="s">
        <v>156</v>
      </c>
      <c r="C22" s="39" t="n">
        <f aca="false">1/(1+'Cover &amp; Assumptions'!$F$55)^(C$5-2026+0.5)</f>
        <v>0.942809041582064</v>
      </c>
      <c r="D22" s="39" t="n">
        <f aca="false">1/(1+'Cover &amp; Assumptions'!$F$55)^(D$5-2026+0.5)</f>
        <v>0.838052481406279</v>
      </c>
      <c r="E22" s="39" t="n">
        <f aca="false">1/(1+'Cover &amp; Assumptions'!$F$55)^(E$5-2026+0.5)</f>
        <v>0.744935539027803</v>
      </c>
      <c r="F22" s="39" t="n">
        <f aca="false">1/(1+'Cover &amp; Assumptions'!$F$55)^(F$5-2026+0.5)</f>
        <v>0.66216492358027</v>
      </c>
      <c r="G22" s="39" t="n">
        <f aca="false">1/(1+'Cover &amp; Assumptions'!$F$55)^(G$5-2026+0.5)</f>
        <v>0.588591043182462</v>
      </c>
      <c r="H22" s="39" t="n">
        <f aca="false">1/(1+'Cover &amp; Assumptions'!$F$55)^(H$5-2026+0.5)</f>
        <v>0.52319203838441</v>
      </c>
      <c r="I22" s="39" t="n">
        <f aca="false">1/(1+'Cover &amp; Assumptions'!$F$55)^(I$5-2026+0.5)</f>
        <v>0.465059589675032</v>
      </c>
      <c r="J22" s="39" t="n">
        <f aca="false">1/(1+'Cover &amp; Assumptions'!$F$55)^(J$5-2026+0.5)</f>
        <v>0.413386301933361</v>
      </c>
      <c r="K22" s="39" t="n">
        <f aca="false">1/(1+'Cover &amp; Assumptions'!$F$55)^(K$5-2026+0.5)</f>
        <v>0.367454490607432</v>
      </c>
      <c r="L22" s="39" t="n">
        <f aca="false">1/(1+'Cover &amp; Assumptions'!$F$55)^(L$5-2026+0.5)</f>
        <v>0.326626213873273</v>
      </c>
      <c r="M22" s="39" t="n">
        <f aca="false">1/(1+'Cover &amp; Assumptions'!$F$55)^(M$5-2026+0.5)</f>
        <v>0.290334412331798</v>
      </c>
      <c r="N22" s="39" t="n">
        <f aca="false">1/(1+'Cover &amp; Assumptions'!$F$55)^(N$5-2026+0.5)</f>
        <v>0.258075033183821</v>
      </c>
      <c r="O22" s="39" t="n">
        <f aca="false">1/(1+'Cover &amp; Assumptions'!$F$55)^(O$5-2026+0.5)</f>
        <v>0.22940002949673</v>
      </c>
      <c r="P22" s="39" t="n">
        <f aca="false">1/(1+'Cover &amp; Assumptions'!$F$55)^(P$5-2026+0.5)</f>
        <v>0.203911137330426</v>
      </c>
      <c r="Q22" s="39" t="n">
        <f aca="false">1/(1+'Cover &amp; Assumptions'!$F$55)^(Q$5-2026+0.5)</f>
        <v>0.181254344293712</v>
      </c>
      <c r="R22" s="39" t="n">
        <f aca="false">1/(1+'Cover &amp; Assumptions'!$F$55)^(R$5-2026+0.5)</f>
        <v>0.161114972705522</v>
      </c>
      <c r="S22" s="39" t="n">
        <f aca="false">1/(1+'Cover &amp; Assumptions'!$F$55)^(S$5-2026+0.5)</f>
        <v>0.143213309071575</v>
      </c>
      <c r="T22" s="39" t="n">
        <f aca="false">1/(1+'Cover &amp; Assumptions'!$F$55)^(T$5-2026+0.5)</f>
        <v>0.127300719174733</v>
      </c>
      <c r="U22" s="39" t="n">
        <f aca="false">1/(1+'Cover &amp; Assumptions'!$F$55)^(U$5-2026+0.5)</f>
        <v>0.113156194821985</v>
      </c>
      <c r="V22" s="39" t="n">
        <f aca="false">1/(1+'Cover &amp; Assumptions'!$F$55)^(V$5-2026+0.5)</f>
        <v>0.100583284286209</v>
      </c>
    </row>
    <row r="23" customFormat="false" ht="15" hidden="false" customHeight="true" outlineLevel="0" collapsed="false">
      <c r="B23" s="7" t="s">
        <v>157</v>
      </c>
      <c r="C23" s="36" t="n">
        <f aca="false">C21*C22</f>
        <v>0</v>
      </c>
      <c r="D23" s="36" t="n">
        <f aca="false">D21*D22</f>
        <v>0</v>
      </c>
      <c r="E23" s="36" t="n">
        <f aca="false">E21*E22</f>
        <v>-8.93922646833364</v>
      </c>
      <c r="F23" s="36" t="n">
        <f aca="false">F21*F22</f>
        <v>-9.53517489955588</v>
      </c>
      <c r="G23" s="36" t="n">
        <f aca="false">G21*G22</f>
        <v>-8.47571102182745</v>
      </c>
      <c r="H23" s="36" t="n">
        <f aca="false">H21*H22</f>
        <v>0</v>
      </c>
      <c r="I23" s="36" t="n">
        <f aca="false">I21*I22</f>
        <v>11.7529859502674</v>
      </c>
      <c r="J23" s="36" t="n">
        <f aca="false">J21*J22</f>
        <v>20.8941972449198</v>
      </c>
      <c r="K23" s="36" t="n">
        <f aca="false">K21*K22</f>
        <v>22.0085544313155</v>
      </c>
      <c r="L23" s="36" t="n">
        <f aca="false">L21*L22</f>
        <v>26.0842126593369</v>
      </c>
      <c r="M23" s="36" t="n">
        <f aca="false">M21*M22</f>
        <v>28.9824585103744</v>
      </c>
      <c r="N23" s="36" t="n">
        <f aca="false">N21*N22</f>
        <v>25.762185342555</v>
      </c>
      <c r="O23" s="36" t="n">
        <f aca="false">O21*O22</f>
        <v>22.8997203044933</v>
      </c>
      <c r="P23" s="36" t="n">
        <f aca="false">P21*P22</f>
        <v>20.3553069373274</v>
      </c>
      <c r="Q23" s="36" t="n">
        <f aca="false">Q21*Q22</f>
        <v>2.71404092497699</v>
      </c>
      <c r="R23" s="36" t="n">
        <f aca="false">R21*R22</f>
        <v>2.41248082220177</v>
      </c>
      <c r="S23" s="36" t="n">
        <f aca="false">S21*S22</f>
        <v>2.14442739751268</v>
      </c>
      <c r="T23" s="36" t="n">
        <f aca="false">T21*T22</f>
        <v>1.90615768667794</v>
      </c>
      <c r="U23" s="36" t="n">
        <f aca="false">U21*U22</f>
        <v>1.69436238815817</v>
      </c>
      <c r="V23" s="36" t="n">
        <f aca="false">V21*V22</f>
        <v>1.50609990058504</v>
      </c>
    </row>
    <row r="25" customFormat="false" ht="15" hidden="false" customHeight="true" outlineLevel="0" collapsed="false">
      <c r="B25" s="38" t="s">
        <v>158</v>
      </c>
      <c r="C25" s="40" t="n">
        <f aca="false">SUM(C23:V23)</f>
        <v>164.167078110985</v>
      </c>
    </row>
    <row r="27" customFormat="false" ht="15" hidden="false" customHeight="true" outlineLevel="0" collapsed="false">
      <c r="A27" s="14" t="s">
        <v>159</v>
      </c>
      <c r="B27" s="14"/>
      <c r="C27" s="14"/>
      <c r="D27" s="14"/>
      <c r="E27" s="14"/>
      <c r="F27" s="14"/>
      <c r="G27" s="14"/>
      <c r="H27" s="14"/>
    </row>
    <row r="29" customFormat="false" ht="15" hidden="false" customHeight="true" outlineLevel="0" collapsed="false">
      <c r="B29" s="7" t="s">
        <v>142</v>
      </c>
      <c r="C29" s="33" t="n">
        <f aca="false">C$5-'Cover &amp; Assumptions'!$F$50</f>
        <v>-6</v>
      </c>
      <c r="D29" s="33" t="n">
        <f aca="false">D$5-'Cover &amp; Assumptions'!$F$50</f>
        <v>-5</v>
      </c>
      <c r="E29" s="33" t="n">
        <f aca="false">E$5-'Cover &amp; Assumptions'!$F$50</f>
        <v>-4</v>
      </c>
      <c r="F29" s="33" t="n">
        <f aca="false">F$5-'Cover &amp; Assumptions'!$F$50</f>
        <v>-3</v>
      </c>
      <c r="G29" s="33" t="n">
        <f aca="false">G$5-'Cover &amp; Assumptions'!$F$50</f>
        <v>-2</v>
      </c>
      <c r="H29" s="33" t="n">
        <f aca="false">H$5-'Cover &amp; Assumptions'!$F$50</f>
        <v>-1</v>
      </c>
      <c r="I29" s="33" t="n">
        <f aca="false">I$5-'Cover &amp; Assumptions'!$F$50</f>
        <v>0</v>
      </c>
      <c r="J29" s="33" t="n">
        <f aca="false">J$5-'Cover &amp; Assumptions'!$F$50</f>
        <v>1</v>
      </c>
      <c r="K29" s="33" t="n">
        <f aca="false">K$5-'Cover &amp; Assumptions'!$F$50</f>
        <v>2</v>
      </c>
      <c r="L29" s="33" t="n">
        <f aca="false">L$5-'Cover &amp; Assumptions'!$F$50</f>
        <v>3</v>
      </c>
      <c r="M29" s="33" t="n">
        <f aca="false">M$5-'Cover &amp; Assumptions'!$F$50</f>
        <v>4</v>
      </c>
      <c r="N29" s="33" t="n">
        <f aca="false">N$5-'Cover &amp; Assumptions'!$F$50</f>
        <v>5</v>
      </c>
      <c r="O29" s="33" t="n">
        <f aca="false">O$5-'Cover &amp; Assumptions'!$F$50</f>
        <v>6</v>
      </c>
      <c r="P29" s="33" t="n">
        <f aca="false">P$5-'Cover &amp; Assumptions'!$F$50</f>
        <v>7</v>
      </c>
      <c r="Q29" s="33" t="n">
        <f aca="false">Q$5-'Cover &amp; Assumptions'!$F$50</f>
        <v>8</v>
      </c>
      <c r="R29" s="33" t="n">
        <f aca="false">R$5-'Cover &amp; Assumptions'!$F$50</f>
        <v>9</v>
      </c>
      <c r="S29" s="33" t="n">
        <f aca="false">S$5-'Cover &amp; Assumptions'!$F$50</f>
        <v>10</v>
      </c>
      <c r="T29" s="33" t="n">
        <f aca="false">T$5-'Cover &amp; Assumptions'!$F$50</f>
        <v>11</v>
      </c>
      <c r="U29" s="33" t="n">
        <f aca="false">U$5-'Cover &amp; Assumptions'!$F$50</f>
        <v>12</v>
      </c>
      <c r="V29" s="33" t="n">
        <f aca="false">V$5-'Cover &amp; Assumptions'!$F$50</f>
        <v>13</v>
      </c>
    </row>
    <row r="30" customFormat="false" ht="32.25" hidden="false" customHeight="true" outlineLevel="0" collapsed="false">
      <c r="B30" s="7" t="s">
        <v>143</v>
      </c>
      <c r="C30" s="34" t="n">
        <f aca="false">IF(C29&lt;0,0,IF(C29&gt;='Cover &amp; Assumptions'!$F$52-'Cover &amp; Assumptions'!$F$50,'Cover &amp; Assumptions'!$F$48*0.15*0.8,MIN('Cover &amp; Assumptions'!$F$48*0.8,'Cover &amp; Assumptions'!$F$48*0.8*C29/'Cover &amp; Assumptions'!$F$51)))</f>
        <v>0</v>
      </c>
      <c r="D30" s="34" t="n">
        <f aca="false">IF(D29&lt;0,0,IF(D29&gt;='Cover &amp; Assumptions'!$F$52-'Cover &amp; Assumptions'!$F$50,'Cover &amp; Assumptions'!$F$48*0.15*0.8,MIN('Cover &amp; Assumptions'!$F$48*0.8,'Cover &amp; Assumptions'!$F$48*0.8*D29/'Cover &amp; Assumptions'!$F$51)))</f>
        <v>0</v>
      </c>
      <c r="E30" s="34" t="n">
        <f aca="false">IF(E29&lt;0,0,IF(E29&gt;='Cover &amp; Assumptions'!$F$52-'Cover &amp; Assumptions'!$F$50,'Cover &amp; Assumptions'!$F$48*0.15*0.8,MIN('Cover &amp; Assumptions'!$F$48*0.8,'Cover &amp; Assumptions'!$F$48*0.8*E29/'Cover &amp; Assumptions'!$F$51)))</f>
        <v>0</v>
      </c>
      <c r="F30" s="34" t="n">
        <f aca="false">IF(F29&lt;0,0,IF(F29&gt;='Cover &amp; Assumptions'!$F$52-'Cover &amp; Assumptions'!$F$50,'Cover &amp; Assumptions'!$F$48*0.15*0.8,MIN('Cover &amp; Assumptions'!$F$48*0.8,'Cover &amp; Assumptions'!$F$48*0.8*F29/'Cover &amp; Assumptions'!$F$51)))</f>
        <v>0</v>
      </c>
      <c r="G30" s="34" t="n">
        <f aca="false">IF(G29&lt;0,0,IF(G29&gt;='Cover &amp; Assumptions'!$F$52-'Cover &amp; Assumptions'!$F$50,'Cover &amp; Assumptions'!$F$48*0.15*0.8,MIN('Cover &amp; Assumptions'!$F$48*0.8,'Cover &amp; Assumptions'!$F$48*0.8*G29/'Cover &amp; Assumptions'!$F$51)))</f>
        <v>0</v>
      </c>
      <c r="H30" s="34" t="n">
        <f aca="false">IF(H29&lt;0,0,IF(H29&gt;='Cover &amp; Assumptions'!$F$52-'Cover &amp; Assumptions'!$F$50,'Cover &amp; Assumptions'!$F$48*0.15*0.8,MIN('Cover &amp; Assumptions'!$F$48*0.8,'Cover &amp; Assumptions'!$F$48*0.8*H29/'Cover &amp; Assumptions'!$F$51)))</f>
        <v>0</v>
      </c>
      <c r="I30" s="34" t="n">
        <f aca="false">IF(I29&lt;0,0,IF(I29&gt;='Cover &amp; Assumptions'!$F$52-'Cover &amp; Assumptions'!$F$50,'Cover &amp; Assumptions'!$F$48*0.15*0.8,MIN('Cover &amp; Assumptions'!$F$48*0.8,'Cover &amp; Assumptions'!$F$48*0.8*I29/'Cover &amp; Assumptions'!$F$51)))</f>
        <v>0</v>
      </c>
      <c r="J30" s="34" t="n">
        <f aca="false">IF(J29&lt;0,0,IF(J29&gt;='Cover &amp; Assumptions'!$F$52-'Cover &amp; Assumptions'!$F$50,'Cover &amp; Assumptions'!$F$48*0.15*0.8,MIN('Cover &amp; Assumptions'!$F$48*0.8,'Cover &amp; Assumptions'!$F$48*0.8*J29/'Cover &amp; Assumptions'!$F$51)))</f>
        <v>0.032</v>
      </c>
      <c r="K30" s="34" t="n">
        <f aca="false">IF(K29&lt;0,0,IF(K29&gt;='Cover &amp; Assumptions'!$F$52-'Cover &amp; Assumptions'!$F$50,'Cover &amp; Assumptions'!$F$48*0.15*0.8,MIN('Cover &amp; Assumptions'!$F$48*0.8,'Cover &amp; Assumptions'!$F$48*0.8*K29/'Cover &amp; Assumptions'!$F$51)))</f>
        <v>0.064</v>
      </c>
      <c r="L30" s="34" t="n">
        <f aca="false">IF(L29&lt;0,0,IF(L29&gt;='Cover &amp; Assumptions'!$F$52-'Cover &amp; Assumptions'!$F$50,'Cover &amp; Assumptions'!$F$48*0.15*0.8,MIN('Cover &amp; Assumptions'!$F$48*0.8,'Cover &amp; Assumptions'!$F$48*0.8*L29/'Cover &amp; Assumptions'!$F$51)))</f>
        <v>0.096</v>
      </c>
      <c r="M30" s="34" t="n">
        <f aca="false">IF(M29&lt;0,0,IF(M29&gt;='Cover &amp; Assumptions'!$F$52-'Cover &amp; Assumptions'!$F$50,'Cover &amp; Assumptions'!$F$48*0.15*0.8,MIN('Cover &amp; Assumptions'!$F$48*0.8,'Cover &amp; Assumptions'!$F$48*0.8*M29/'Cover &amp; Assumptions'!$F$51)))</f>
        <v>0.128</v>
      </c>
      <c r="N30" s="34" t="n">
        <f aca="false">IF(N29&lt;0,0,IF(N29&gt;='Cover &amp; Assumptions'!$F$52-'Cover &amp; Assumptions'!$F$50,'Cover &amp; Assumptions'!$F$48*0.15*0.8,MIN('Cover &amp; Assumptions'!$F$48*0.8,'Cover &amp; Assumptions'!$F$48*0.8*N29/'Cover &amp; Assumptions'!$F$51)))</f>
        <v>0.16</v>
      </c>
      <c r="O30" s="34" t="n">
        <f aca="false">IF(O29&lt;0,0,IF(O29&gt;='Cover &amp; Assumptions'!$F$52-'Cover &amp; Assumptions'!$F$50,'Cover &amp; Assumptions'!$F$48*0.15*0.8,MIN('Cover &amp; Assumptions'!$F$48*0.8,'Cover &amp; Assumptions'!$F$48*0.8*O29/'Cover &amp; Assumptions'!$F$51)))</f>
        <v>0.16</v>
      </c>
      <c r="P30" s="34" t="n">
        <f aca="false">IF(P29&lt;0,0,IF(P29&gt;='Cover &amp; Assumptions'!$F$52-'Cover &amp; Assumptions'!$F$50,'Cover &amp; Assumptions'!$F$48*0.15*0.8,MIN('Cover &amp; Assumptions'!$F$48*0.8,'Cover &amp; Assumptions'!$F$48*0.8*P29/'Cover &amp; Assumptions'!$F$51)))</f>
        <v>0.16</v>
      </c>
      <c r="Q30" s="34" t="n">
        <f aca="false">IF(Q29&lt;0,0,IF(Q29&gt;='Cover &amp; Assumptions'!$F$52-'Cover &amp; Assumptions'!$F$50,'Cover &amp; Assumptions'!$F$48*0.15*0.8,MIN('Cover &amp; Assumptions'!$F$48*0.8,'Cover &amp; Assumptions'!$F$48*0.8*Q29/'Cover &amp; Assumptions'!$F$51)))</f>
        <v>0.024</v>
      </c>
      <c r="R30" s="34" t="n">
        <f aca="false">IF(R29&lt;0,0,IF(R29&gt;='Cover &amp; Assumptions'!$F$52-'Cover &amp; Assumptions'!$F$50,'Cover &amp; Assumptions'!$F$48*0.15*0.8,MIN('Cover &amp; Assumptions'!$F$48*0.8,'Cover &amp; Assumptions'!$F$48*0.8*R29/'Cover &amp; Assumptions'!$F$51)))</f>
        <v>0.024</v>
      </c>
      <c r="S30" s="34" t="n">
        <f aca="false">IF(S29&lt;0,0,IF(S29&gt;='Cover &amp; Assumptions'!$F$52-'Cover &amp; Assumptions'!$F$50,'Cover &amp; Assumptions'!$F$48*0.15*0.8,MIN('Cover &amp; Assumptions'!$F$48*0.8,'Cover &amp; Assumptions'!$F$48*0.8*S29/'Cover &amp; Assumptions'!$F$51)))</f>
        <v>0.024</v>
      </c>
      <c r="T30" s="34" t="n">
        <f aca="false">IF(T29&lt;0,0,IF(T29&gt;='Cover &amp; Assumptions'!$F$52-'Cover &amp; Assumptions'!$F$50,'Cover &amp; Assumptions'!$F$48*0.15*0.8,MIN('Cover &amp; Assumptions'!$F$48*0.8,'Cover &amp; Assumptions'!$F$48*0.8*T29/'Cover &amp; Assumptions'!$F$51)))</f>
        <v>0.024</v>
      </c>
      <c r="U30" s="34" t="n">
        <f aca="false">IF(U29&lt;0,0,IF(U29&gt;='Cover &amp; Assumptions'!$F$52-'Cover &amp; Assumptions'!$F$50,'Cover &amp; Assumptions'!$F$48*0.15*0.8,MIN('Cover &amp; Assumptions'!$F$48*0.8,'Cover &amp; Assumptions'!$F$48*0.8*U29/'Cover &amp; Assumptions'!$F$51)))</f>
        <v>0.024</v>
      </c>
      <c r="V30" s="34" t="n">
        <f aca="false">IF(V29&lt;0,0,IF(V29&gt;='Cover &amp; Assumptions'!$F$52-'Cover &amp; Assumptions'!$F$50,'Cover &amp; Assumptions'!$F$48*0.15*0.8,MIN('Cover &amp; Assumptions'!$F$48*0.8,'Cover &amp; Assumptions'!$F$48*0.8*V29/'Cover &amp; Assumptions'!$F$51)))</f>
        <v>0.024</v>
      </c>
      <c r="X30" s="9" t="s">
        <v>160</v>
      </c>
    </row>
    <row r="31" customFormat="false" ht="15" hidden="false" customHeight="true" outlineLevel="0" collapsed="false">
      <c r="B31" s="7" t="s">
        <v>144</v>
      </c>
      <c r="C31" s="35" t="n">
        <f aca="false">'Cover &amp; Assumptions'!$F$46*C30</f>
        <v>0</v>
      </c>
      <c r="D31" s="35" t="n">
        <f aca="false">'Cover &amp; Assumptions'!$F$46*D30</f>
        <v>0</v>
      </c>
      <c r="E31" s="35" t="n">
        <f aca="false">'Cover &amp; Assumptions'!$F$46*E30</f>
        <v>0</v>
      </c>
      <c r="F31" s="35" t="n">
        <f aca="false">'Cover &amp; Assumptions'!$F$46*F30</f>
        <v>0</v>
      </c>
      <c r="G31" s="35" t="n">
        <f aca="false">'Cover &amp; Assumptions'!$F$46*G30</f>
        <v>0</v>
      </c>
      <c r="H31" s="35" t="n">
        <f aca="false">'Cover &amp; Assumptions'!$F$46*H30</f>
        <v>0</v>
      </c>
      <c r="I31" s="35" t="n">
        <f aca="false">'Cover &amp; Assumptions'!$F$46*I30</f>
        <v>0</v>
      </c>
      <c r="J31" s="35" t="n">
        <f aca="false">'Cover &amp; Assumptions'!$F$46*J30</f>
        <v>17.6</v>
      </c>
      <c r="K31" s="35" t="n">
        <f aca="false">'Cover &amp; Assumptions'!$F$46*K30</f>
        <v>35.2</v>
      </c>
      <c r="L31" s="35" t="n">
        <f aca="false">'Cover &amp; Assumptions'!$F$46*L30</f>
        <v>52.8</v>
      </c>
      <c r="M31" s="35" t="n">
        <f aca="false">'Cover &amp; Assumptions'!$F$46*M30</f>
        <v>70.4</v>
      </c>
      <c r="N31" s="35" t="n">
        <f aca="false">'Cover &amp; Assumptions'!$F$46*N30</f>
        <v>88</v>
      </c>
      <c r="O31" s="35" t="n">
        <f aca="false">'Cover &amp; Assumptions'!$F$46*O30</f>
        <v>88</v>
      </c>
      <c r="P31" s="35" t="n">
        <f aca="false">'Cover &amp; Assumptions'!$F$46*P30</f>
        <v>88</v>
      </c>
      <c r="Q31" s="35" t="n">
        <f aca="false">'Cover &amp; Assumptions'!$F$46*Q30</f>
        <v>13.2</v>
      </c>
      <c r="R31" s="35" t="n">
        <f aca="false">'Cover &amp; Assumptions'!$F$46*R30</f>
        <v>13.2</v>
      </c>
      <c r="S31" s="35" t="n">
        <f aca="false">'Cover &amp; Assumptions'!$F$46*S30</f>
        <v>13.2</v>
      </c>
      <c r="T31" s="35" t="n">
        <f aca="false">'Cover &amp; Assumptions'!$F$46*T30</f>
        <v>13.2</v>
      </c>
      <c r="U31" s="35" t="n">
        <f aca="false">'Cover &amp; Assumptions'!$F$46*U30</f>
        <v>13.2</v>
      </c>
      <c r="V31" s="35" t="n">
        <f aca="false">'Cover &amp; Assumptions'!$F$46*V30</f>
        <v>13.2</v>
      </c>
    </row>
    <row r="32" customFormat="false" ht="15" hidden="false" customHeight="true" outlineLevel="0" collapsed="false">
      <c r="B32" s="7" t="s">
        <v>145</v>
      </c>
      <c r="C32" s="36" t="n">
        <f aca="false">C31*1000*'Cover &amp; Assumptions'!$F$47/1000000</f>
        <v>0</v>
      </c>
      <c r="D32" s="36" t="n">
        <f aca="false">D31*1000*'Cover &amp; Assumptions'!$F$47/1000000</f>
        <v>0</v>
      </c>
      <c r="E32" s="36" t="n">
        <f aca="false">E31*1000*'Cover &amp; Assumptions'!$F$47/1000000</f>
        <v>0</v>
      </c>
      <c r="F32" s="36" t="n">
        <f aca="false">F31*1000*'Cover &amp; Assumptions'!$F$47/1000000</f>
        <v>0</v>
      </c>
      <c r="G32" s="36" t="n">
        <f aca="false">G31*1000*'Cover &amp; Assumptions'!$F$47/1000000</f>
        <v>0</v>
      </c>
      <c r="H32" s="36" t="n">
        <f aca="false">H31*1000*'Cover &amp; Assumptions'!$F$47/1000000</f>
        <v>0</v>
      </c>
      <c r="I32" s="36" t="n">
        <f aca="false">I31*1000*'Cover &amp; Assumptions'!$F$47/1000000</f>
        <v>0</v>
      </c>
      <c r="J32" s="36" t="n">
        <f aca="false">J31*1000*'Cover &amp; Assumptions'!$F$47/1000000</f>
        <v>158.4</v>
      </c>
      <c r="K32" s="36" t="n">
        <f aca="false">K31*1000*'Cover &amp; Assumptions'!$F$47/1000000</f>
        <v>316.8</v>
      </c>
      <c r="L32" s="36" t="n">
        <f aca="false">L31*1000*'Cover &amp; Assumptions'!$F$47/1000000</f>
        <v>475.2</v>
      </c>
      <c r="M32" s="36" t="n">
        <f aca="false">M31*1000*'Cover &amp; Assumptions'!$F$47/1000000</f>
        <v>633.6</v>
      </c>
      <c r="N32" s="36" t="n">
        <f aca="false">N31*1000*'Cover &amp; Assumptions'!$F$47/1000000</f>
        <v>792</v>
      </c>
      <c r="O32" s="36" t="n">
        <f aca="false">O31*1000*'Cover &amp; Assumptions'!$F$47/1000000</f>
        <v>792</v>
      </c>
      <c r="P32" s="36" t="n">
        <f aca="false">P31*1000*'Cover &amp; Assumptions'!$F$47/1000000</f>
        <v>792</v>
      </c>
      <c r="Q32" s="36" t="n">
        <f aca="false">Q31*1000*'Cover &amp; Assumptions'!$F$47/1000000</f>
        <v>118.8</v>
      </c>
      <c r="R32" s="36" t="n">
        <f aca="false">R31*1000*'Cover &amp; Assumptions'!$F$47/1000000</f>
        <v>118.8</v>
      </c>
      <c r="S32" s="36" t="n">
        <f aca="false">S31*1000*'Cover &amp; Assumptions'!$F$47/1000000</f>
        <v>118.8</v>
      </c>
      <c r="T32" s="36" t="n">
        <f aca="false">T31*1000*'Cover &amp; Assumptions'!$F$47/1000000</f>
        <v>118.8</v>
      </c>
      <c r="U32" s="36" t="n">
        <f aca="false">U31*1000*'Cover &amp; Assumptions'!$F$47/1000000</f>
        <v>118.8</v>
      </c>
      <c r="V32" s="36" t="n">
        <f aca="false">V31*1000*'Cover &amp; Assumptions'!$F$47/1000000</f>
        <v>118.8</v>
      </c>
    </row>
    <row r="33" customFormat="false" ht="15" hidden="false" customHeight="true" outlineLevel="0" collapsed="false">
      <c r="B33" s="7" t="s">
        <v>146</v>
      </c>
      <c r="C33" s="36" t="n">
        <f aca="false">-C32*'Cover &amp; Assumptions'!$F$53</f>
        <v>-0</v>
      </c>
      <c r="D33" s="36" t="n">
        <f aca="false">-D32*'Cover &amp; Assumptions'!$F$53</f>
        <v>-0</v>
      </c>
      <c r="E33" s="36" t="n">
        <f aca="false">-E32*'Cover &amp; Assumptions'!$F$53</f>
        <v>-0</v>
      </c>
      <c r="F33" s="36" t="n">
        <f aca="false">-F32*'Cover &amp; Assumptions'!$F$53</f>
        <v>-0</v>
      </c>
      <c r="G33" s="36" t="n">
        <f aca="false">-G32*'Cover &amp; Assumptions'!$F$53</f>
        <v>-0</v>
      </c>
      <c r="H33" s="36" t="n">
        <f aca="false">-H32*'Cover &amp; Assumptions'!$F$53</f>
        <v>-0</v>
      </c>
      <c r="I33" s="36" t="n">
        <f aca="false">-I32*'Cover &amp; Assumptions'!$F$53</f>
        <v>-0</v>
      </c>
      <c r="J33" s="36" t="n">
        <f aca="false">-J32*'Cover &amp; Assumptions'!$F$53</f>
        <v>-23.76</v>
      </c>
      <c r="K33" s="36" t="n">
        <f aca="false">-K32*'Cover &amp; Assumptions'!$F$53</f>
        <v>-47.52</v>
      </c>
      <c r="L33" s="36" t="n">
        <f aca="false">-L32*'Cover &amp; Assumptions'!$F$53</f>
        <v>-71.28</v>
      </c>
      <c r="M33" s="36" t="n">
        <f aca="false">-M32*'Cover &amp; Assumptions'!$F$53</f>
        <v>-95.04</v>
      </c>
      <c r="N33" s="36" t="n">
        <f aca="false">-N32*'Cover &amp; Assumptions'!$F$53</f>
        <v>-118.8</v>
      </c>
      <c r="O33" s="36" t="n">
        <f aca="false">-O32*'Cover &amp; Assumptions'!$F$53</f>
        <v>-118.8</v>
      </c>
      <c r="P33" s="36" t="n">
        <f aca="false">-P32*'Cover &amp; Assumptions'!$F$53</f>
        <v>-118.8</v>
      </c>
      <c r="Q33" s="36" t="n">
        <f aca="false">-Q32*'Cover &amp; Assumptions'!$F$53</f>
        <v>-17.82</v>
      </c>
      <c r="R33" s="36" t="n">
        <f aca="false">-R32*'Cover &amp; Assumptions'!$F$53</f>
        <v>-17.82</v>
      </c>
      <c r="S33" s="36" t="n">
        <f aca="false">-S32*'Cover &amp; Assumptions'!$F$53</f>
        <v>-17.82</v>
      </c>
      <c r="T33" s="36" t="n">
        <f aca="false">-T32*'Cover &amp; Assumptions'!$F$53</f>
        <v>-17.82</v>
      </c>
      <c r="U33" s="36" t="n">
        <f aca="false">-U32*'Cover &amp; Assumptions'!$F$53</f>
        <v>-17.82</v>
      </c>
      <c r="V33" s="36" t="n">
        <f aca="false">-V32*'Cover &amp; Assumptions'!$F$53</f>
        <v>-17.82</v>
      </c>
    </row>
    <row r="34" customFormat="false" ht="32.25" hidden="false" customHeight="true" outlineLevel="0" collapsed="false">
      <c r="B34" s="7" t="s">
        <v>161</v>
      </c>
      <c r="C34" s="36" t="n">
        <f aca="false">IF(AND(C29&lt;0,C29&gt;=-2),-4,IF(C32&gt;0,-C32*'Cover &amp; Assumptions'!$F$54*0.7,0))</f>
        <v>0</v>
      </c>
      <c r="D34" s="36" t="n">
        <f aca="false">IF(AND(D29&lt;0,D29&gt;=-2),-4,IF(D32&gt;0,-D32*'Cover &amp; Assumptions'!$F$54*0.7,0))</f>
        <v>0</v>
      </c>
      <c r="E34" s="36" t="n">
        <f aca="false">IF(AND(E29&lt;0,E29&gt;=-2),-4,IF(E32&gt;0,-E32*'Cover &amp; Assumptions'!$F$54*0.7,0))</f>
        <v>0</v>
      </c>
      <c r="F34" s="36" t="n">
        <f aca="false">IF(AND(F29&lt;0,F29&gt;=-2),-4,IF(F32&gt;0,-F32*'Cover &amp; Assumptions'!$F$54*0.7,0))</f>
        <v>0</v>
      </c>
      <c r="G34" s="36" t="n">
        <f aca="false">IF(AND(G29&lt;0,G29&gt;=-2),-4,IF(G32&gt;0,-G32*'Cover &amp; Assumptions'!$F$54*0.7,0))</f>
        <v>-4</v>
      </c>
      <c r="H34" s="36" t="n">
        <f aca="false">IF(AND(H29&lt;0,H29&gt;=-2),-4,IF(H32&gt;0,-H32*'Cover &amp; Assumptions'!$F$54*0.7,0))</f>
        <v>-4</v>
      </c>
      <c r="I34" s="36" t="n">
        <f aca="false">IF(AND(I29&lt;0,I29&gt;=-2),-4,IF(I32&gt;0,-I32*'Cover &amp; Assumptions'!$F$54*0.7,0))</f>
        <v>0</v>
      </c>
      <c r="J34" s="36" t="n">
        <f aca="false">IF(AND(J29&lt;0,J29&gt;=-2),-4,IF(J32&gt;0,-J32*'Cover &amp; Assumptions'!$F$54*0.7,0))</f>
        <v>-31.0464</v>
      </c>
      <c r="K34" s="36" t="n">
        <f aca="false">IF(AND(K29&lt;0,K29&gt;=-2),-4,IF(K32&gt;0,-K32*'Cover &amp; Assumptions'!$F$54*0.7,0))</f>
        <v>-62.0928</v>
      </c>
      <c r="L34" s="36" t="n">
        <f aca="false">IF(AND(L29&lt;0,L29&gt;=-2),-4,IF(L32&gt;0,-L32*'Cover &amp; Assumptions'!$F$54*0.7,0))</f>
        <v>-93.1392</v>
      </c>
      <c r="M34" s="36" t="n">
        <f aca="false">IF(AND(M29&lt;0,M29&gt;=-2),-4,IF(M32&gt;0,-M32*'Cover &amp; Assumptions'!$F$54*0.7,0))</f>
        <v>-124.1856</v>
      </c>
      <c r="N34" s="36" t="n">
        <f aca="false">IF(AND(N29&lt;0,N29&gt;=-2),-4,IF(N32&gt;0,-N32*'Cover &amp; Assumptions'!$F$54*0.7,0))</f>
        <v>-155.232</v>
      </c>
      <c r="O34" s="36" t="n">
        <f aca="false">IF(AND(O29&lt;0,O29&gt;=-2),-4,IF(O32&gt;0,-O32*'Cover &amp; Assumptions'!$F$54*0.7,0))</f>
        <v>-155.232</v>
      </c>
      <c r="P34" s="36" t="n">
        <f aca="false">IF(AND(P29&lt;0,P29&gt;=-2),-4,IF(P32&gt;0,-P32*'Cover &amp; Assumptions'!$F$54*0.7,0))</f>
        <v>-155.232</v>
      </c>
      <c r="Q34" s="36" t="n">
        <f aca="false">IF(AND(Q29&lt;0,Q29&gt;=-2),-4,IF(Q32&gt;0,-Q32*'Cover &amp; Assumptions'!$F$54*0.7,0))</f>
        <v>-23.2848</v>
      </c>
      <c r="R34" s="36" t="n">
        <f aca="false">IF(AND(R29&lt;0,R29&gt;=-2),-4,IF(R32&gt;0,-R32*'Cover &amp; Assumptions'!$F$54*0.7,0))</f>
        <v>-23.2848</v>
      </c>
      <c r="S34" s="36" t="n">
        <f aca="false">IF(AND(S29&lt;0,S29&gt;=-2),-4,IF(S32&gt;0,-S32*'Cover &amp; Assumptions'!$F$54*0.7,0))</f>
        <v>-23.2848</v>
      </c>
      <c r="T34" s="36" t="n">
        <f aca="false">IF(AND(T29&lt;0,T29&gt;=-2),-4,IF(T32&gt;0,-T32*'Cover &amp; Assumptions'!$F$54*0.7,0))</f>
        <v>-23.2848</v>
      </c>
      <c r="U34" s="36" t="n">
        <f aca="false">IF(AND(U29&lt;0,U29&gt;=-2),-4,IF(U32&gt;0,-U32*'Cover &amp; Assumptions'!$F$54*0.7,0))</f>
        <v>-23.2848</v>
      </c>
      <c r="V34" s="36" t="n">
        <f aca="false">IF(AND(V29&lt;0,V29&gt;=-2),-4,IF(V32&gt;0,-V32*'Cover &amp; Assumptions'!$F$54*0.7,0))</f>
        <v>-23.2848</v>
      </c>
      <c r="X34" s="9" t="s">
        <v>162</v>
      </c>
    </row>
    <row r="35" customFormat="false" ht="15" hidden="false" customHeight="true" outlineLevel="0" collapsed="false">
      <c r="B35" s="7" t="s">
        <v>148</v>
      </c>
      <c r="C35" s="36" t="n">
        <f aca="false">-C32*0.05</f>
        <v>-0</v>
      </c>
      <c r="D35" s="36" t="n">
        <f aca="false">-D32*0.05</f>
        <v>-0</v>
      </c>
      <c r="E35" s="36" t="n">
        <f aca="false">-E32*0.05</f>
        <v>-0</v>
      </c>
      <c r="F35" s="36" t="n">
        <f aca="false">-F32*0.05</f>
        <v>-0</v>
      </c>
      <c r="G35" s="36" t="n">
        <f aca="false">-G32*0.05</f>
        <v>-0</v>
      </c>
      <c r="H35" s="36" t="n">
        <f aca="false">-H32*0.05</f>
        <v>-0</v>
      </c>
      <c r="I35" s="36" t="n">
        <f aca="false">-I32*0.05</f>
        <v>-0</v>
      </c>
      <c r="J35" s="36" t="n">
        <f aca="false">-J32*0.05</f>
        <v>-7.92</v>
      </c>
      <c r="K35" s="36" t="n">
        <f aca="false">-K32*0.05</f>
        <v>-15.84</v>
      </c>
      <c r="L35" s="36" t="n">
        <f aca="false">-L32*0.05</f>
        <v>-23.76</v>
      </c>
      <c r="M35" s="36" t="n">
        <f aca="false">-M32*0.05</f>
        <v>-31.68</v>
      </c>
      <c r="N35" s="36" t="n">
        <f aca="false">-N32*0.05</f>
        <v>-39.6</v>
      </c>
      <c r="O35" s="36" t="n">
        <f aca="false">-O32*0.05</f>
        <v>-39.6</v>
      </c>
      <c r="P35" s="36" t="n">
        <f aca="false">-P32*0.05</f>
        <v>-39.6</v>
      </c>
      <c r="Q35" s="36" t="n">
        <f aca="false">-Q32*0.05</f>
        <v>-5.94</v>
      </c>
      <c r="R35" s="36" t="n">
        <f aca="false">-R32*0.05</f>
        <v>-5.94</v>
      </c>
      <c r="S35" s="36" t="n">
        <f aca="false">-S32*0.05</f>
        <v>-5.94</v>
      </c>
      <c r="T35" s="36" t="n">
        <f aca="false">-T32*0.05</f>
        <v>-5.94</v>
      </c>
      <c r="U35" s="36" t="n">
        <f aca="false">-U32*0.05</f>
        <v>-5.94</v>
      </c>
      <c r="V35" s="36" t="n">
        <f aca="false">-V32*0.05</f>
        <v>-5.94</v>
      </c>
    </row>
    <row r="36" customFormat="false" ht="15" hidden="false" customHeight="true" outlineLevel="0" collapsed="false">
      <c r="B36" s="7" t="s">
        <v>149</v>
      </c>
      <c r="C36" s="36" t="n">
        <f aca="false">IF(AND(C29&lt;0,C29&gt;=-3),-35,0)</f>
        <v>0</v>
      </c>
      <c r="D36" s="36" t="n">
        <f aca="false">IF(AND(D29&lt;0,D29&gt;=-3),-35,0)</f>
        <v>0</v>
      </c>
      <c r="E36" s="36" t="n">
        <f aca="false">IF(AND(E29&lt;0,E29&gt;=-3),-35,0)</f>
        <v>0</v>
      </c>
      <c r="F36" s="36" t="n">
        <f aca="false">IF(AND(F29&lt;0,F29&gt;=-3),-35,0)</f>
        <v>-35</v>
      </c>
      <c r="G36" s="36" t="n">
        <f aca="false">IF(AND(G29&lt;0,G29&gt;=-3),-35,0)</f>
        <v>-35</v>
      </c>
      <c r="H36" s="36" t="n">
        <f aca="false">IF(AND(H29&lt;0,H29&gt;=-3),-35,0)</f>
        <v>-35</v>
      </c>
      <c r="I36" s="36" t="n">
        <f aca="false">IF(AND(I29&lt;0,I29&gt;=-3),-35,0)</f>
        <v>0</v>
      </c>
      <c r="J36" s="36" t="n">
        <f aca="false">IF(AND(J29&lt;0,J29&gt;=-3),-35,0)</f>
        <v>0</v>
      </c>
      <c r="K36" s="36" t="n">
        <f aca="false">IF(AND(K29&lt;0,K29&gt;=-3),-35,0)</f>
        <v>0</v>
      </c>
      <c r="L36" s="36" t="n">
        <f aca="false">IF(AND(L29&lt;0,L29&gt;=-3),-35,0)</f>
        <v>0</v>
      </c>
      <c r="M36" s="36" t="n">
        <f aca="false">IF(AND(M29&lt;0,M29&gt;=-3),-35,0)</f>
        <v>0</v>
      </c>
      <c r="N36" s="36" t="n">
        <f aca="false">IF(AND(N29&lt;0,N29&gt;=-3),-35,0)</f>
        <v>0</v>
      </c>
      <c r="O36" s="36" t="n">
        <f aca="false">IF(AND(O29&lt;0,O29&gt;=-3),-35,0)</f>
        <v>0</v>
      </c>
      <c r="P36" s="36" t="n">
        <f aca="false">IF(AND(P29&lt;0,P29&gt;=-3),-35,0)</f>
        <v>0</v>
      </c>
      <c r="Q36" s="36" t="n">
        <f aca="false">IF(AND(Q29&lt;0,Q29&gt;=-3),-35,0)</f>
        <v>0</v>
      </c>
      <c r="R36" s="36" t="n">
        <f aca="false">IF(AND(R29&lt;0,R29&gt;=-3),-35,0)</f>
        <v>0</v>
      </c>
      <c r="S36" s="36" t="n">
        <f aca="false">IF(AND(S29&lt;0,S29&gt;=-3),-35,0)</f>
        <v>0</v>
      </c>
      <c r="T36" s="36" t="n">
        <f aca="false">IF(AND(T29&lt;0,T29&gt;=-3),-35,0)</f>
        <v>0</v>
      </c>
      <c r="U36" s="36" t="n">
        <f aca="false">IF(AND(U29&lt;0,U29&gt;=-3),-35,0)</f>
        <v>0</v>
      </c>
      <c r="V36" s="36" t="n">
        <f aca="false">IF(AND(V29&lt;0,V29&gt;=-3),-35,0)</f>
        <v>0</v>
      </c>
    </row>
    <row r="37" customFormat="false" ht="15" hidden="false" customHeight="true" outlineLevel="0" collapsed="false">
      <c r="B37" s="17" t="s">
        <v>150</v>
      </c>
      <c r="C37" s="37" t="n">
        <f aca="false">C32+C33+C34+C35+C36</f>
        <v>0</v>
      </c>
      <c r="D37" s="37" t="n">
        <f aca="false">D32+D33+D34+D35+D36</f>
        <v>0</v>
      </c>
      <c r="E37" s="37" t="n">
        <f aca="false">E32+E33+E34+E35+E36</f>
        <v>0</v>
      </c>
      <c r="F37" s="37" t="n">
        <f aca="false">F32+F33+F34+F35+F36</f>
        <v>-35</v>
      </c>
      <c r="G37" s="37" t="n">
        <f aca="false">G32+G33+G34+G35+G36</f>
        <v>-39</v>
      </c>
      <c r="H37" s="37" t="n">
        <f aca="false">H32+H33+H34+H35+H36</f>
        <v>-39</v>
      </c>
      <c r="I37" s="37" t="n">
        <f aca="false">I32+I33+I34+I35+I36</f>
        <v>0</v>
      </c>
      <c r="J37" s="37" t="n">
        <f aca="false">J32+J33+J34+J35+J36</f>
        <v>95.6736</v>
      </c>
      <c r="K37" s="37" t="n">
        <f aca="false">K32+K33+K34+K35+K36</f>
        <v>191.3472</v>
      </c>
      <c r="L37" s="37" t="n">
        <f aca="false">L32+L33+L34+L35+L36</f>
        <v>287.0208</v>
      </c>
      <c r="M37" s="37" t="n">
        <f aca="false">M32+M33+M34+M35+M36</f>
        <v>382.6944</v>
      </c>
      <c r="N37" s="37" t="n">
        <f aca="false">N32+N33+N34+N35+N36</f>
        <v>478.368</v>
      </c>
      <c r="O37" s="37" t="n">
        <f aca="false">O32+O33+O34+O35+O36</f>
        <v>478.368</v>
      </c>
      <c r="P37" s="37" t="n">
        <f aca="false">P32+P33+P34+P35+P36</f>
        <v>478.368</v>
      </c>
      <c r="Q37" s="37" t="n">
        <f aca="false">Q32+Q33+Q34+Q35+Q36</f>
        <v>71.7552</v>
      </c>
      <c r="R37" s="37" t="n">
        <f aca="false">R32+R33+R34+R35+R36</f>
        <v>71.7552</v>
      </c>
      <c r="S37" s="37" t="n">
        <f aca="false">S32+S33+S34+S35+S36</f>
        <v>71.7552</v>
      </c>
      <c r="T37" s="37" t="n">
        <f aca="false">T32+T33+T34+T35+T36</f>
        <v>71.7552</v>
      </c>
      <c r="U37" s="37" t="n">
        <f aca="false">U32+U33+U34+U35+U36</f>
        <v>71.7552</v>
      </c>
      <c r="V37" s="37" t="n">
        <f aca="false">V32+V33+V34+V35+V36</f>
        <v>71.7552</v>
      </c>
    </row>
    <row r="38" customFormat="false" ht="15" hidden="false" customHeight="true" outlineLevel="0" collapsed="false">
      <c r="B38" s="7" t="s">
        <v>151</v>
      </c>
      <c r="C38" s="21" t="n">
        <v>0</v>
      </c>
      <c r="D38" s="21" t="n">
        <v>0</v>
      </c>
      <c r="E38" s="21" t="n">
        <v>0</v>
      </c>
      <c r="F38" s="21" t="n">
        <v>0</v>
      </c>
      <c r="G38" s="21" t="n">
        <v>0</v>
      </c>
      <c r="H38" s="21" t="n">
        <v>0</v>
      </c>
      <c r="I38" s="21" t="n">
        <v>0</v>
      </c>
      <c r="J38" s="21" t="n">
        <v>0</v>
      </c>
      <c r="K38" s="21" t="n">
        <v>0</v>
      </c>
      <c r="L38" s="21" t="n">
        <v>0.21</v>
      </c>
      <c r="M38" s="21" t="n">
        <v>0.21</v>
      </c>
      <c r="N38" s="21" t="n">
        <v>0.21</v>
      </c>
      <c r="O38" s="21" t="n">
        <v>0.21</v>
      </c>
      <c r="P38" s="21" t="n">
        <v>0.21</v>
      </c>
      <c r="Q38" s="21" t="n">
        <v>0.21</v>
      </c>
      <c r="R38" s="21" t="n">
        <v>0.21</v>
      </c>
      <c r="S38" s="21" t="n">
        <v>0.21</v>
      </c>
      <c r="T38" s="21" t="n">
        <v>0.21</v>
      </c>
      <c r="U38" s="21" t="n">
        <v>0.21</v>
      </c>
      <c r="V38" s="21" t="n">
        <v>0.21</v>
      </c>
    </row>
    <row r="39" customFormat="false" ht="15" hidden="false" customHeight="true" outlineLevel="0" collapsed="false">
      <c r="B39" s="17" t="s">
        <v>153</v>
      </c>
      <c r="C39" s="37" t="n">
        <f aca="false">IF(C37&gt;0,C37*(1-C38),C37)</f>
        <v>0</v>
      </c>
      <c r="D39" s="37" t="n">
        <f aca="false">IF(D37&gt;0,D37*(1-D38),D37)</f>
        <v>0</v>
      </c>
      <c r="E39" s="37" t="n">
        <f aca="false">IF(E37&gt;0,E37*(1-E38),E37)</f>
        <v>0</v>
      </c>
      <c r="F39" s="37" t="n">
        <f aca="false">IF(F37&gt;0,F37*(1-F38),F37)</f>
        <v>-35</v>
      </c>
      <c r="G39" s="37" t="n">
        <f aca="false">IF(G37&gt;0,G37*(1-G38),G37)</f>
        <v>-39</v>
      </c>
      <c r="H39" s="37" t="n">
        <f aca="false">IF(H37&gt;0,H37*(1-H38),H37)</f>
        <v>-39</v>
      </c>
      <c r="I39" s="37" t="n">
        <f aca="false">IF(I37&gt;0,I37*(1-I38),I37)</f>
        <v>0</v>
      </c>
      <c r="J39" s="37" t="n">
        <f aca="false">IF(J37&gt;0,J37*(1-J38),J37)</f>
        <v>95.6736</v>
      </c>
      <c r="K39" s="37" t="n">
        <f aca="false">IF(K37&gt;0,K37*(1-K38),K37)</f>
        <v>191.3472</v>
      </c>
      <c r="L39" s="37" t="n">
        <f aca="false">IF(L37&gt;0,L37*(1-L38),L37)</f>
        <v>226.746432</v>
      </c>
      <c r="M39" s="37" t="n">
        <f aca="false">IF(M37&gt;0,M37*(1-M38),M37)</f>
        <v>302.328576</v>
      </c>
      <c r="N39" s="37" t="n">
        <f aca="false">IF(N37&gt;0,N37*(1-N38),N37)</f>
        <v>377.91072</v>
      </c>
      <c r="O39" s="37" t="n">
        <f aca="false">IF(O37&gt;0,O37*(1-O38),O37)</f>
        <v>377.91072</v>
      </c>
      <c r="P39" s="37" t="n">
        <f aca="false">IF(P37&gt;0,P37*(1-P38),P37)</f>
        <v>377.91072</v>
      </c>
      <c r="Q39" s="37" t="n">
        <f aca="false">IF(Q37&gt;0,Q37*(1-Q38),Q37)</f>
        <v>56.686608</v>
      </c>
      <c r="R39" s="37" t="n">
        <f aca="false">IF(R37&gt;0,R37*(1-R38),R37)</f>
        <v>56.686608</v>
      </c>
      <c r="S39" s="37" t="n">
        <f aca="false">IF(S37&gt;0,S37*(1-S38),S37)</f>
        <v>56.686608</v>
      </c>
      <c r="T39" s="37" t="n">
        <f aca="false">IF(T37&gt;0,T37*(1-T38),T37)</f>
        <v>56.686608</v>
      </c>
      <c r="U39" s="37" t="n">
        <f aca="false">IF(U37&gt;0,U37*(1-U38),U37)</f>
        <v>56.686608</v>
      </c>
      <c r="V39" s="37" t="n">
        <f aca="false">IF(V37&gt;0,V37*(1-V38),V37)</f>
        <v>56.686608</v>
      </c>
    </row>
    <row r="40" customFormat="false" ht="15" hidden="false" customHeight="true" outlineLevel="0" collapsed="false">
      <c r="B40" s="7" t="s">
        <v>163</v>
      </c>
      <c r="C40" s="34" t="n">
        <f aca="false">'Cover &amp; Assumptions'!$F$44</f>
        <v>0.28</v>
      </c>
      <c r="D40" s="34"/>
      <c r="E40" s="34"/>
      <c r="F40" s="34"/>
      <c r="G40" s="34"/>
      <c r="H40" s="34"/>
      <c r="I40" s="34"/>
      <c r="J40" s="34"/>
      <c r="K40" s="34"/>
      <c r="L40" s="34"/>
      <c r="M40" s="34"/>
      <c r="N40" s="34"/>
      <c r="O40" s="34"/>
      <c r="P40" s="34"/>
      <c r="Q40" s="34"/>
      <c r="R40" s="34"/>
      <c r="S40" s="34"/>
      <c r="T40" s="34"/>
      <c r="U40" s="34"/>
      <c r="V40" s="34"/>
    </row>
    <row r="41" customFormat="false" ht="15" hidden="false" customHeight="true" outlineLevel="0" collapsed="false">
      <c r="B41" s="38" t="s">
        <v>155</v>
      </c>
      <c r="C41" s="26" t="n">
        <f aca="false">C39*$C$40</f>
        <v>0</v>
      </c>
      <c r="D41" s="26" t="n">
        <f aca="false">D39*$C$40</f>
        <v>0</v>
      </c>
      <c r="E41" s="26" t="n">
        <f aca="false">E39*$C$40</f>
        <v>0</v>
      </c>
      <c r="F41" s="26" t="n">
        <f aca="false">F39*$C$40</f>
        <v>-9.8</v>
      </c>
      <c r="G41" s="26" t="n">
        <f aca="false">G39*$C$40</f>
        <v>-10.92</v>
      </c>
      <c r="H41" s="26" t="n">
        <f aca="false">H39*$C$40</f>
        <v>-10.92</v>
      </c>
      <c r="I41" s="26" t="n">
        <f aca="false">I39*$C$40</f>
        <v>0</v>
      </c>
      <c r="J41" s="26" t="n">
        <f aca="false">J39*$C$40</f>
        <v>26.788608</v>
      </c>
      <c r="K41" s="26" t="n">
        <f aca="false">K39*$C$40</f>
        <v>53.577216</v>
      </c>
      <c r="L41" s="26" t="n">
        <f aca="false">L39*$C$40</f>
        <v>63.48900096</v>
      </c>
      <c r="M41" s="26" t="n">
        <f aca="false">M39*$C$40</f>
        <v>84.65200128</v>
      </c>
      <c r="N41" s="26" t="n">
        <f aca="false">N39*$C$40</f>
        <v>105.8150016</v>
      </c>
      <c r="O41" s="26" t="n">
        <f aca="false">O39*$C$40</f>
        <v>105.8150016</v>
      </c>
      <c r="P41" s="26" t="n">
        <f aca="false">P39*$C$40</f>
        <v>105.8150016</v>
      </c>
      <c r="Q41" s="26" t="n">
        <f aca="false">Q39*$C$40</f>
        <v>15.87225024</v>
      </c>
      <c r="R41" s="26" t="n">
        <f aca="false">R39*$C$40</f>
        <v>15.87225024</v>
      </c>
      <c r="S41" s="26" t="n">
        <f aca="false">S39*$C$40</f>
        <v>15.87225024</v>
      </c>
      <c r="T41" s="26" t="n">
        <f aca="false">T39*$C$40</f>
        <v>15.87225024</v>
      </c>
      <c r="U41" s="26" t="n">
        <f aca="false">U39*$C$40</f>
        <v>15.87225024</v>
      </c>
      <c r="V41" s="26" t="n">
        <f aca="false">V39*$C$40</f>
        <v>15.87225024</v>
      </c>
    </row>
    <row r="42" customFormat="false" ht="15" hidden="false" customHeight="true" outlineLevel="0" collapsed="false">
      <c r="B42" s="7" t="s">
        <v>156</v>
      </c>
      <c r="C42" s="39" t="n">
        <f aca="false">1/(1+'Cover &amp; Assumptions'!$F$55)^(C$5-2026+0.5)</f>
        <v>0.942809041582064</v>
      </c>
      <c r="D42" s="39" t="n">
        <f aca="false">1/(1+'Cover &amp; Assumptions'!$F$55)^(D$5-2026+0.5)</f>
        <v>0.838052481406279</v>
      </c>
      <c r="E42" s="39" t="n">
        <f aca="false">1/(1+'Cover &amp; Assumptions'!$F$55)^(E$5-2026+0.5)</f>
        <v>0.744935539027803</v>
      </c>
      <c r="F42" s="39" t="n">
        <f aca="false">1/(1+'Cover &amp; Assumptions'!$F$55)^(F$5-2026+0.5)</f>
        <v>0.66216492358027</v>
      </c>
      <c r="G42" s="39" t="n">
        <f aca="false">1/(1+'Cover &amp; Assumptions'!$F$55)^(G$5-2026+0.5)</f>
        <v>0.588591043182462</v>
      </c>
      <c r="H42" s="39" t="n">
        <f aca="false">1/(1+'Cover &amp; Assumptions'!$F$55)^(H$5-2026+0.5)</f>
        <v>0.52319203838441</v>
      </c>
      <c r="I42" s="39" t="n">
        <f aca="false">1/(1+'Cover &amp; Assumptions'!$F$55)^(I$5-2026+0.5)</f>
        <v>0.465059589675032</v>
      </c>
      <c r="J42" s="39" t="n">
        <f aca="false">1/(1+'Cover &amp; Assumptions'!$F$55)^(J$5-2026+0.5)</f>
        <v>0.413386301933361</v>
      </c>
      <c r="K42" s="39" t="n">
        <f aca="false">1/(1+'Cover &amp; Assumptions'!$F$55)^(K$5-2026+0.5)</f>
        <v>0.367454490607432</v>
      </c>
      <c r="L42" s="39" t="n">
        <f aca="false">1/(1+'Cover &amp; Assumptions'!$F$55)^(L$5-2026+0.5)</f>
        <v>0.326626213873273</v>
      </c>
      <c r="M42" s="39" t="n">
        <f aca="false">1/(1+'Cover &amp; Assumptions'!$F$55)^(M$5-2026+0.5)</f>
        <v>0.290334412331798</v>
      </c>
      <c r="N42" s="39" t="n">
        <f aca="false">1/(1+'Cover &amp; Assumptions'!$F$55)^(N$5-2026+0.5)</f>
        <v>0.258075033183821</v>
      </c>
      <c r="O42" s="39" t="n">
        <f aca="false">1/(1+'Cover &amp; Assumptions'!$F$55)^(O$5-2026+0.5)</f>
        <v>0.22940002949673</v>
      </c>
      <c r="P42" s="39" t="n">
        <f aca="false">1/(1+'Cover &amp; Assumptions'!$F$55)^(P$5-2026+0.5)</f>
        <v>0.203911137330426</v>
      </c>
      <c r="Q42" s="39" t="n">
        <f aca="false">1/(1+'Cover &amp; Assumptions'!$F$55)^(Q$5-2026+0.5)</f>
        <v>0.181254344293712</v>
      </c>
      <c r="R42" s="39" t="n">
        <f aca="false">1/(1+'Cover &amp; Assumptions'!$F$55)^(R$5-2026+0.5)</f>
        <v>0.161114972705522</v>
      </c>
      <c r="S42" s="39" t="n">
        <f aca="false">1/(1+'Cover &amp; Assumptions'!$F$55)^(S$5-2026+0.5)</f>
        <v>0.143213309071575</v>
      </c>
      <c r="T42" s="39" t="n">
        <f aca="false">1/(1+'Cover &amp; Assumptions'!$F$55)^(T$5-2026+0.5)</f>
        <v>0.127300719174733</v>
      </c>
      <c r="U42" s="39" t="n">
        <f aca="false">1/(1+'Cover &amp; Assumptions'!$F$55)^(U$5-2026+0.5)</f>
        <v>0.113156194821985</v>
      </c>
      <c r="V42" s="39" t="n">
        <f aca="false">1/(1+'Cover &amp; Assumptions'!$F$55)^(V$5-2026+0.5)</f>
        <v>0.100583284286209</v>
      </c>
    </row>
    <row r="43" customFormat="false" ht="15" hidden="false" customHeight="true" outlineLevel="0" collapsed="false">
      <c r="B43" s="7" t="s">
        <v>157</v>
      </c>
      <c r="C43" s="36" t="n">
        <f aca="false">C41*C42</f>
        <v>0</v>
      </c>
      <c r="D43" s="36" t="n">
        <f aca="false">D41*D42</f>
        <v>0</v>
      </c>
      <c r="E43" s="36" t="n">
        <f aca="false">E41*E42</f>
        <v>0</v>
      </c>
      <c r="F43" s="36" t="n">
        <f aca="false">F41*F42</f>
        <v>-6.48921625108664</v>
      </c>
      <c r="G43" s="36" t="n">
        <f aca="false">G41*G42</f>
        <v>-6.42741419155248</v>
      </c>
      <c r="H43" s="36" t="n">
        <f aca="false">H41*H42</f>
        <v>-5.71325705915776</v>
      </c>
      <c r="I43" s="36" t="n">
        <f aca="false">I41*I42</f>
        <v>0</v>
      </c>
      <c r="J43" s="36" t="n">
        <f aca="false">J41*J42</f>
        <v>11.0740435950625</v>
      </c>
      <c r="K43" s="36" t="n">
        <f aca="false">K41*K42</f>
        <v>19.6871886134444</v>
      </c>
      <c r="L43" s="36" t="n">
        <f aca="false">L41*L42</f>
        <v>20.7371720061614</v>
      </c>
      <c r="M43" s="36" t="n">
        <f aca="false">M41*M42</f>
        <v>24.5773890443395</v>
      </c>
      <c r="N43" s="36" t="n">
        <f aca="false">N41*N42</f>
        <v>27.3082100492661</v>
      </c>
      <c r="O43" s="36" t="n">
        <f aca="false">O41*O42</f>
        <v>24.2739644882365</v>
      </c>
      <c r="P43" s="36" t="n">
        <f aca="false">P41*P42</f>
        <v>21.5768573228769</v>
      </c>
      <c r="Q43" s="36" t="n">
        <f aca="false">Q41*Q42</f>
        <v>2.87691430971692</v>
      </c>
      <c r="R43" s="36" t="n">
        <f aca="false">R41*R42</f>
        <v>2.55725716419282</v>
      </c>
      <c r="S43" s="36" t="n">
        <f aca="false">S41*S42</f>
        <v>2.2731174792825</v>
      </c>
      <c r="T43" s="36" t="n">
        <f aca="false">T41*T42</f>
        <v>2.02054887047334</v>
      </c>
      <c r="U43" s="36" t="n">
        <f aca="false">U41*U42</f>
        <v>1.79604344042074</v>
      </c>
      <c r="V43" s="36" t="n">
        <f aca="false">V41*V42</f>
        <v>1.59648305815177</v>
      </c>
    </row>
    <row r="45" customFormat="false" ht="15" hidden="false" customHeight="true" outlineLevel="0" collapsed="false">
      <c r="B45" s="38" t="s">
        <v>164</v>
      </c>
      <c r="C45" s="40" t="n">
        <f aca="false">SUM(C43:V43)</f>
        <v>143.725301939828</v>
      </c>
    </row>
    <row r="47" customFormat="false" ht="15" hidden="false" customHeight="true" outlineLevel="0" collapsed="false">
      <c r="A47" s="14" t="s">
        <v>165</v>
      </c>
      <c r="B47" s="14"/>
      <c r="C47" s="14"/>
      <c r="D47" s="14"/>
      <c r="E47" s="14"/>
      <c r="F47" s="14"/>
      <c r="G47" s="14"/>
      <c r="H47" s="14"/>
    </row>
    <row r="49" customFormat="false" ht="15" hidden="false" customHeight="true" outlineLevel="0" collapsed="false">
      <c r="B49" s="7" t="s">
        <v>158</v>
      </c>
      <c r="C49" s="12" t="n">
        <f aca="false">C25</f>
        <v>164.167078110985</v>
      </c>
    </row>
    <row r="50" customFormat="false" ht="15" hidden="false" customHeight="true" outlineLevel="0" collapsed="false">
      <c r="B50" s="7" t="s">
        <v>164</v>
      </c>
      <c r="C50" s="12" t="n">
        <f aca="false">C45</f>
        <v>143.725301939828</v>
      </c>
    </row>
    <row r="51" customFormat="false" ht="15" hidden="false" customHeight="true" outlineLevel="0" collapsed="false">
      <c r="B51" s="7" t="s">
        <v>166</v>
      </c>
      <c r="C51" s="12" t="n">
        <f aca="false">'Cover &amp; Assumptions'!$F$56*110</f>
        <v>33</v>
      </c>
    </row>
    <row r="52" customFormat="false" ht="15" hidden="false" customHeight="true" outlineLevel="0" collapsed="false">
      <c r="B52" s="7" t="s">
        <v>167</v>
      </c>
      <c r="C52" s="12" t="n">
        <f aca="false">'Cover &amp; Assumptions'!$F$57</f>
        <v>30</v>
      </c>
    </row>
    <row r="53" customFormat="false" ht="15" hidden="false" customHeight="true" outlineLevel="0" collapsed="false">
      <c r="B53" s="17" t="s">
        <v>168</v>
      </c>
      <c r="C53" s="29" t="n">
        <f aca="false">SUM(C49:C52)</f>
        <v>370.892380050814</v>
      </c>
    </row>
    <row r="54" customFormat="false" ht="15" hidden="false" customHeight="true" outlineLevel="0" collapsed="false">
      <c r="B54" s="7" t="s">
        <v>169</v>
      </c>
      <c r="C54" s="13" t="n">
        <f aca="false">'Cover &amp; Assumptions'!C15-'Cover &amp; Assumptions'!C16</f>
        <v>52.031</v>
      </c>
    </row>
    <row r="55" customFormat="false" ht="345" hidden="false" customHeight="true" outlineLevel="0" collapsed="false">
      <c r="B55" s="7" t="s">
        <v>170</v>
      </c>
      <c r="C55" s="13" t="n">
        <f aca="false">'Balance Sheet &amp; Cash Runway'!C35*8</f>
        <v>24.7766666666667</v>
      </c>
      <c r="G55" s="9" t="s">
        <v>171</v>
      </c>
    </row>
    <row r="56" customFormat="false" ht="15" hidden="false" customHeight="true" outlineLevel="0" collapsed="false">
      <c r="B56" s="38" t="s">
        <v>172</v>
      </c>
      <c r="C56" s="40" t="n">
        <f aca="false">C53+C54-C55</f>
        <v>398.146713384147</v>
      </c>
    </row>
    <row r="57" customFormat="false" ht="15" hidden="false" customHeight="true" outlineLevel="0" collapsed="false">
      <c r="B57" s="7" t="s">
        <v>173</v>
      </c>
      <c r="C57" s="41" t="n">
        <f aca="false">'Cover &amp; Assumptions'!C12</f>
        <v>78.48</v>
      </c>
    </row>
    <row r="59" customFormat="false" ht="15" hidden="false" customHeight="true" outlineLevel="0" collapsed="false">
      <c r="B59" s="42" t="s">
        <v>174</v>
      </c>
      <c r="C59" s="43" t="n">
        <f aca="false">C56/C57</f>
        <v>5.07322519602634</v>
      </c>
    </row>
    <row r="61" customFormat="false" ht="54.75" hidden="false" customHeight="true" outlineLevel="0" collapsed="false">
      <c r="B61" s="16" t="s">
        <v>175</v>
      </c>
      <c r="C61" s="16"/>
      <c r="D61" s="16"/>
      <c r="E61" s="16"/>
      <c r="F61" s="16"/>
      <c r="G61" s="16"/>
      <c r="H61" s="16"/>
      <c r="I61" s="16"/>
      <c r="J61" s="16"/>
      <c r="K61" s="16"/>
    </row>
    <row r="62" customFormat="false" ht="15" hidden="false" customHeight="true" outlineLevel="0" collapsed="false">
      <c r="B62" s="16"/>
      <c r="C62" s="16"/>
      <c r="D62" s="16"/>
      <c r="E62" s="16"/>
      <c r="F62" s="16"/>
      <c r="G62" s="16"/>
      <c r="H62" s="16"/>
      <c r="I62" s="16"/>
      <c r="J62" s="16"/>
      <c r="K62" s="16"/>
    </row>
    <row r="63" customFormat="false" ht="15" hidden="false" customHeight="true" outlineLevel="0" collapsed="false">
      <c r="B63" s="16"/>
      <c r="C63" s="16"/>
      <c r="D63" s="16"/>
      <c r="E63" s="16"/>
      <c r="F63" s="16"/>
      <c r="G63" s="16"/>
      <c r="H63" s="16"/>
      <c r="I63" s="16"/>
      <c r="J63" s="16"/>
      <c r="K63" s="16"/>
    </row>
  </sheetData>
  <mergeCells count="4">
    <mergeCell ref="B3:V3"/>
    <mergeCell ref="C20:V20"/>
    <mergeCell ref="C40:V40"/>
    <mergeCell ref="B61:K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22" min="3" style="1" width="11"/>
    <col collapsed="false" customWidth="true" hidden="false" outlineLevel="0" max="24" min="24" style="1" width="55"/>
  </cols>
  <sheetData>
    <row r="2" customFormat="false" ht="19.5" hidden="false" customHeight="true" outlineLevel="0" collapsed="false">
      <c r="B2" s="32" t="s">
        <v>176</v>
      </c>
    </row>
    <row r="3" customFormat="false" ht="60" hidden="false" customHeight="true" outlineLevel="0" collapsed="false">
      <c r="B3" s="27" t="s">
        <v>177</v>
      </c>
      <c r="C3" s="27"/>
      <c r="D3" s="27"/>
      <c r="E3" s="27"/>
      <c r="F3" s="27"/>
      <c r="G3" s="27"/>
      <c r="H3" s="27"/>
      <c r="I3" s="27"/>
      <c r="J3" s="27"/>
      <c r="K3" s="27"/>
      <c r="L3" s="27"/>
      <c r="M3" s="27"/>
      <c r="N3" s="27"/>
      <c r="O3" s="27"/>
      <c r="P3" s="27"/>
      <c r="Q3" s="27"/>
      <c r="R3" s="27"/>
      <c r="S3" s="27"/>
      <c r="T3" s="27"/>
      <c r="U3" s="27"/>
      <c r="V3" s="27"/>
    </row>
    <row r="4" customFormat="false" ht="15" hidden="false" customHeight="true" outlineLevel="0" collapsed="false">
      <c r="B4" s="27"/>
      <c r="C4" s="27"/>
      <c r="D4" s="27"/>
      <c r="E4" s="27"/>
      <c r="F4" s="27"/>
      <c r="G4" s="27"/>
      <c r="H4" s="27"/>
      <c r="I4" s="27"/>
      <c r="J4" s="27"/>
      <c r="K4" s="27"/>
      <c r="L4" s="27"/>
      <c r="M4" s="27"/>
      <c r="N4" s="27"/>
      <c r="O4" s="27"/>
      <c r="P4" s="27"/>
      <c r="Q4" s="27"/>
      <c r="R4" s="27"/>
      <c r="S4" s="27"/>
      <c r="T4" s="27"/>
      <c r="U4" s="27"/>
      <c r="V4" s="27"/>
    </row>
    <row r="5" customFormat="false" ht="15" hidden="false" customHeight="true" outlineLevel="0" collapsed="false">
      <c r="B5" s="27"/>
      <c r="C5" s="27"/>
      <c r="D5" s="27"/>
      <c r="E5" s="27"/>
      <c r="F5" s="27"/>
      <c r="G5" s="27"/>
      <c r="H5" s="27"/>
      <c r="I5" s="27"/>
      <c r="J5" s="27"/>
      <c r="K5" s="27"/>
      <c r="L5" s="27"/>
      <c r="M5" s="27"/>
      <c r="N5" s="27"/>
      <c r="O5" s="27"/>
      <c r="P5" s="27"/>
      <c r="Q5" s="27"/>
      <c r="R5" s="27"/>
      <c r="S5" s="27"/>
      <c r="T5" s="27"/>
      <c r="U5" s="27"/>
      <c r="V5" s="27"/>
    </row>
    <row r="7" customFormat="false" ht="15" hidden="false" customHeight="true" outlineLevel="0" collapsed="false">
      <c r="B7" s="19" t="s">
        <v>140</v>
      </c>
      <c r="C7" s="44" t="n">
        <f aca="false">'rNPV Model'!C5</f>
        <v>2026</v>
      </c>
      <c r="D7" s="44" t="n">
        <f aca="false">'rNPV Model'!D5</f>
        <v>2027</v>
      </c>
      <c r="E7" s="44" t="n">
        <f aca="false">'rNPV Model'!E5</f>
        <v>2028</v>
      </c>
      <c r="F7" s="44" t="n">
        <f aca="false">'rNPV Model'!F5</f>
        <v>2029</v>
      </c>
      <c r="G7" s="44" t="n">
        <f aca="false">'rNPV Model'!G5</f>
        <v>2030</v>
      </c>
      <c r="H7" s="44" t="n">
        <f aca="false">'rNPV Model'!H5</f>
        <v>2031</v>
      </c>
      <c r="I7" s="44" t="n">
        <f aca="false">'rNPV Model'!I5</f>
        <v>2032</v>
      </c>
      <c r="J7" s="44" t="n">
        <f aca="false">'rNPV Model'!J5</f>
        <v>2033</v>
      </c>
      <c r="K7" s="44" t="n">
        <f aca="false">'rNPV Model'!K5</f>
        <v>2034</v>
      </c>
      <c r="L7" s="44" t="n">
        <f aca="false">'rNPV Model'!L5</f>
        <v>2035</v>
      </c>
      <c r="M7" s="44" t="n">
        <f aca="false">'rNPV Model'!M5</f>
        <v>2036</v>
      </c>
      <c r="N7" s="44" t="n">
        <f aca="false">'rNPV Model'!N5</f>
        <v>2037</v>
      </c>
      <c r="O7" s="44" t="n">
        <f aca="false">'rNPV Model'!O5</f>
        <v>2038</v>
      </c>
      <c r="P7" s="44" t="n">
        <f aca="false">'rNPV Model'!P5</f>
        <v>2039</v>
      </c>
      <c r="Q7" s="44" t="n">
        <f aca="false">'rNPV Model'!Q5</f>
        <v>2040</v>
      </c>
      <c r="R7" s="44" t="n">
        <f aca="false">'rNPV Model'!R5</f>
        <v>2041</v>
      </c>
      <c r="S7" s="44" t="n">
        <f aca="false">'rNPV Model'!S5</f>
        <v>2042</v>
      </c>
      <c r="T7" s="44" t="n">
        <f aca="false">'rNPV Model'!T5</f>
        <v>2043</v>
      </c>
      <c r="U7" s="44" t="n">
        <f aca="false">'rNPV Model'!U5</f>
        <v>2044</v>
      </c>
      <c r="V7" s="44" t="n">
        <f aca="false">'rNPV Model'!V5</f>
        <v>2045</v>
      </c>
    </row>
    <row r="9" customFormat="false" ht="15" hidden="false" customHeight="true" outlineLevel="0" collapsed="false">
      <c r="A9" s="14" t="s">
        <v>178</v>
      </c>
      <c r="B9" s="14"/>
      <c r="C9" s="14"/>
      <c r="D9" s="14"/>
      <c r="E9" s="14"/>
      <c r="F9" s="14"/>
      <c r="G9" s="14"/>
      <c r="H9" s="14"/>
    </row>
    <row r="11" customFormat="false" ht="15" hidden="false" customHeight="true" outlineLevel="0" collapsed="false">
      <c r="B11" s="7" t="s">
        <v>179</v>
      </c>
      <c r="C11" s="36" t="n">
        <f aca="false">'rNPV Model'!C19</f>
        <v>0</v>
      </c>
      <c r="D11" s="36" t="n">
        <f aca="false">'rNPV Model'!D19</f>
        <v>0</v>
      </c>
      <c r="E11" s="36" t="n">
        <f aca="false">'rNPV Model'!E19</f>
        <v>-40</v>
      </c>
      <c r="F11" s="36" t="n">
        <f aca="false">'rNPV Model'!F19</f>
        <v>-48</v>
      </c>
      <c r="G11" s="36" t="n">
        <f aca="false">'rNPV Model'!G19</f>
        <v>-48</v>
      </c>
      <c r="H11" s="36" t="n">
        <f aca="false">'rNPV Model'!H19</f>
        <v>0</v>
      </c>
      <c r="I11" s="36" t="n">
        <f aca="false">'rNPV Model'!I19</f>
        <v>84.24</v>
      </c>
      <c r="J11" s="36" t="n">
        <f aca="false">'rNPV Model'!J19</f>
        <v>168.48</v>
      </c>
      <c r="K11" s="36" t="n">
        <f aca="false">'rNPV Model'!K19</f>
        <v>199.6488</v>
      </c>
      <c r="L11" s="36" t="n">
        <f aca="false">'rNPV Model'!L19</f>
        <v>266.1984</v>
      </c>
      <c r="M11" s="36" t="n">
        <f aca="false">'rNPV Model'!M19</f>
        <v>332.748</v>
      </c>
      <c r="N11" s="36" t="n">
        <f aca="false">'rNPV Model'!N19</f>
        <v>332.748</v>
      </c>
      <c r="O11" s="36" t="n">
        <f aca="false">'rNPV Model'!O19</f>
        <v>332.748</v>
      </c>
      <c r="P11" s="36" t="n">
        <f aca="false">'rNPV Model'!P19</f>
        <v>332.748</v>
      </c>
      <c r="Q11" s="36" t="n">
        <f aca="false">'rNPV Model'!Q19</f>
        <v>49.9122</v>
      </c>
      <c r="R11" s="36" t="n">
        <f aca="false">'rNPV Model'!R19</f>
        <v>49.9122</v>
      </c>
      <c r="S11" s="36" t="n">
        <f aca="false">'rNPV Model'!S19</f>
        <v>49.9122</v>
      </c>
      <c r="T11" s="36" t="n">
        <f aca="false">'rNPV Model'!T19</f>
        <v>49.9122</v>
      </c>
      <c r="U11" s="36" t="n">
        <f aca="false">'rNPV Model'!U19</f>
        <v>49.9122</v>
      </c>
      <c r="V11" s="36" t="n">
        <f aca="false">'rNPV Model'!V19</f>
        <v>49.9122</v>
      </c>
    </row>
    <row r="12" customFormat="false" ht="15" hidden="false" customHeight="true" outlineLevel="0" collapsed="false">
      <c r="B12" s="7" t="s">
        <v>180</v>
      </c>
      <c r="C12" s="36" t="n">
        <f aca="false">'rNPV Model'!C39</f>
        <v>0</v>
      </c>
      <c r="D12" s="36" t="n">
        <f aca="false">'rNPV Model'!D39</f>
        <v>0</v>
      </c>
      <c r="E12" s="36" t="n">
        <f aca="false">'rNPV Model'!E39</f>
        <v>0</v>
      </c>
      <c r="F12" s="36" t="n">
        <f aca="false">'rNPV Model'!F39</f>
        <v>-35</v>
      </c>
      <c r="G12" s="36" t="n">
        <f aca="false">'rNPV Model'!G39</f>
        <v>-39</v>
      </c>
      <c r="H12" s="36" t="n">
        <f aca="false">'rNPV Model'!H39</f>
        <v>-39</v>
      </c>
      <c r="I12" s="36" t="n">
        <f aca="false">'rNPV Model'!I39</f>
        <v>0</v>
      </c>
      <c r="J12" s="36" t="n">
        <f aca="false">'rNPV Model'!J39</f>
        <v>95.6736</v>
      </c>
      <c r="K12" s="36" t="n">
        <f aca="false">'rNPV Model'!K39</f>
        <v>191.3472</v>
      </c>
      <c r="L12" s="36" t="n">
        <f aca="false">'rNPV Model'!L39</f>
        <v>226.746432</v>
      </c>
      <c r="M12" s="36" t="n">
        <f aca="false">'rNPV Model'!M39</f>
        <v>302.328576</v>
      </c>
      <c r="N12" s="36" t="n">
        <f aca="false">'rNPV Model'!N39</f>
        <v>377.91072</v>
      </c>
      <c r="O12" s="36" t="n">
        <f aca="false">'rNPV Model'!O39</f>
        <v>377.91072</v>
      </c>
      <c r="P12" s="36" t="n">
        <f aca="false">'rNPV Model'!P39</f>
        <v>377.91072</v>
      </c>
      <c r="Q12" s="36" t="n">
        <f aca="false">'rNPV Model'!Q39</f>
        <v>56.686608</v>
      </c>
      <c r="R12" s="36" t="n">
        <f aca="false">'rNPV Model'!R39</f>
        <v>56.686608</v>
      </c>
      <c r="S12" s="36" t="n">
        <f aca="false">'rNPV Model'!S39</f>
        <v>56.686608</v>
      </c>
      <c r="T12" s="36" t="n">
        <f aca="false">'rNPV Model'!T39</f>
        <v>56.686608</v>
      </c>
      <c r="U12" s="36" t="n">
        <f aca="false">'rNPV Model'!U39</f>
        <v>56.686608</v>
      </c>
      <c r="V12" s="36" t="n">
        <f aca="false">'rNPV Model'!V39</f>
        <v>56.686608</v>
      </c>
    </row>
    <row r="13" customFormat="false" ht="15" hidden="false" customHeight="true" outlineLevel="0" collapsed="false">
      <c r="B13" s="17" t="s">
        <v>181</v>
      </c>
      <c r="C13" s="37" t="n">
        <f aca="false">C11+C12</f>
        <v>0</v>
      </c>
      <c r="D13" s="37" t="n">
        <f aca="false">D11+D12</f>
        <v>0</v>
      </c>
      <c r="E13" s="37" t="n">
        <f aca="false">E11+E12</f>
        <v>-40</v>
      </c>
      <c r="F13" s="37" t="n">
        <f aca="false">F11+F12</f>
        <v>-83</v>
      </c>
      <c r="G13" s="37" t="n">
        <f aca="false">G11+G12</f>
        <v>-87</v>
      </c>
      <c r="H13" s="37" t="n">
        <f aca="false">H11+H12</f>
        <v>-39</v>
      </c>
      <c r="I13" s="37" t="n">
        <f aca="false">I11+I12</f>
        <v>84.24</v>
      </c>
      <c r="J13" s="37" t="n">
        <f aca="false">J11+J12</f>
        <v>264.1536</v>
      </c>
      <c r="K13" s="37" t="n">
        <f aca="false">K11+K12</f>
        <v>390.996</v>
      </c>
      <c r="L13" s="37" t="n">
        <f aca="false">L11+L12</f>
        <v>492.944832</v>
      </c>
      <c r="M13" s="37" t="n">
        <f aca="false">M11+M12</f>
        <v>635.076576</v>
      </c>
      <c r="N13" s="37" t="n">
        <f aca="false">N11+N12</f>
        <v>710.65872</v>
      </c>
      <c r="O13" s="37" t="n">
        <f aca="false">O11+O12</f>
        <v>710.65872</v>
      </c>
      <c r="P13" s="37" t="n">
        <f aca="false">P11+P12</f>
        <v>710.65872</v>
      </c>
      <c r="Q13" s="37" t="n">
        <f aca="false">Q11+Q12</f>
        <v>106.598808</v>
      </c>
      <c r="R13" s="37" t="n">
        <f aca="false">R11+R12</f>
        <v>106.598808</v>
      </c>
      <c r="S13" s="37" t="n">
        <f aca="false">S11+S12</f>
        <v>106.598808</v>
      </c>
      <c r="T13" s="37" t="n">
        <f aca="false">T11+T12</f>
        <v>106.598808</v>
      </c>
      <c r="U13" s="37" t="n">
        <f aca="false">U11+U12</f>
        <v>106.598808</v>
      </c>
      <c r="V13" s="37" t="n">
        <f aca="false">V11+V12</f>
        <v>106.598808</v>
      </c>
    </row>
    <row r="14" customFormat="false" ht="15" hidden="false" customHeight="true" outlineLevel="0" collapsed="false">
      <c r="B14" s="7" t="s">
        <v>182</v>
      </c>
      <c r="C14" s="39" t="n">
        <f aca="false">1/(1+'Cover &amp; Assumptions'!$F$55)^(C7-2026+0.5)</f>
        <v>0.942809041582064</v>
      </c>
      <c r="D14" s="39" t="n">
        <f aca="false">1/(1+'Cover &amp; Assumptions'!$F$55)^(D7-2026+0.5)</f>
        <v>0.838052481406279</v>
      </c>
      <c r="E14" s="39" t="n">
        <f aca="false">1/(1+'Cover &amp; Assumptions'!$F$55)^(E7-2026+0.5)</f>
        <v>0.744935539027803</v>
      </c>
      <c r="F14" s="39" t="n">
        <f aca="false">1/(1+'Cover &amp; Assumptions'!$F$55)^(F7-2026+0.5)</f>
        <v>0.66216492358027</v>
      </c>
      <c r="G14" s="39" t="n">
        <f aca="false">1/(1+'Cover &amp; Assumptions'!$F$55)^(G7-2026+0.5)</f>
        <v>0.588591043182462</v>
      </c>
      <c r="H14" s="39" t="n">
        <f aca="false">1/(1+'Cover &amp; Assumptions'!$F$55)^(H7-2026+0.5)</f>
        <v>0.52319203838441</v>
      </c>
      <c r="I14" s="39" t="n">
        <f aca="false">1/(1+'Cover &amp; Assumptions'!$F$55)^(I7-2026+0.5)</f>
        <v>0.465059589675032</v>
      </c>
      <c r="J14" s="39" t="n">
        <f aca="false">1/(1+'Cover &amp; Assumptions'!$F$55)^(J7-2026+0.5)</f>
        <v>0.413386301933361</v>
      </c>
      <c r="K14" s="39" t="n">
        <f aca="false">1/(1+'Cover &amp; Assumptions'!$F$55)^(K7-2026+0.5)</f>
        <v>0.367454490607432</v>
      </c>
      <c r="L14" s="39" t="n">
        <f aca="false">1/(1+'Cover &amp; Assumptions'!$F$55)^(L7-2026+0.5)</f>
        <v>0.326626213873273</v>
      </c>
      <c r="M14" s="39" t="n">
        <f aca="false">1/(1+'Cover &amp; Assumptions'!$F$55)^(M7-2026+0.5)</f>
        <v>0.290334412331798</v>
      </c>
      <c r="N14" s="39" t="n">
        <f aca="false">1/(1+'Cover &amp; Assumptions'!$F$55)^(N7-2026+0.5)</f>
        <v>0.258075033183821</v>
      </c>
      <c r="O14" s="39" t="n">
        <f aca="false">1/(1+'Cover &amp; Assumptions'!$F$55)^(O7-2026+0.5)</f>
        <v>0.22940002949673</v>
      </c>
      <c r="P14" s="39" t="n">
        <f aca="false">1/(1+'Cover &amp; Assumptions'!$F$55)^(P7-2026+0.5)</f>
        <v>0.203911137330426</v>
      </c>
      <c r="Q14" s="39" t="n">
        <f aca="false">1/(1+'Cover &amp; Assumptions'!$F$55)^(Q7-2026+0.5)</f>
        <v>0.181254344293712</v>
      </c>
      <c r="R14" s="39" t="n">
        <f aca="false">1/(1+'Cover &amp; Assumptions'!$F$55)^(R7-2026+0.5)</f>
        <v>0.161114972705522</v>
      </c>
      <c r="S14" s="39" t="n">
        <f aca="false">1/(1+'Cover &amp; Assumptions'!$F$55)^(S7-2026+0.5)</f>
        <v>0.143213309071575</v>
      </c>
      <c r="T14" s="39" t="n">
        <f aca="false">1/(1+'Cover &amp; Assumptions'!$F$55)^(T7-2026+0.5)</f>
        <v>0.127300719174733</v>
      </c>
      <c r="U14" s="39" t="n">
        <f aca="false">1/(1+'Cover &amp; Assumptions'!$F$55)^(U7-2026+0.5)</f>
        <v>0.113156194821985</v>
      </c>
      <c r="V14" s="39" t="n">
        <f aca="false">1/(1+'Cover &amp; Assumptions'!$F$55)^(V7-2026+0.5)</f>
        <v>0.100583284286209</v>
      </c>
    </row>
    <row r="15" customFormat="false" ht="15" hidden="false" customHeight="true" outlineLevel="0" collapsed="false">
      <c r="B15" s="7" t="s">
        <v>183</v>
      </c>
      <c r="C15" s="36" t="n">
        <f aca="false">C13*C14</f>
        <v>0</v>
      </c>
      <c r="D15" s="36" t="n">
        <f aca="false">D13*D14</f>
        <v>0</v>
      </c>
      <c r="E15" s="36" t="n">
        <f aca="false">E13*E14</f>
        <v>-29.7974215611121</v>
      </c>
      <c r="F15" s="36" t="n">
        <f aca="false">F13*F14</f>
        <v>-54.9596886571624</v>
      </c>
      <c r="G15" s="36" t="n">
        <f aca="false">G13*G14</f>
        <v>-51.2074207568742</v>
      </c>
      <c r="H15" s="36" t="n">
        <f aca="false">H13*H14</f>
        <v>-20.404489496992</v>
      </c>
      <c r="I15" s="36" t="n">
        <f aca="false">I13*I14</f>
        <v>39.1766198342246</v>
      </c>
      <c r="J15" s="36" t="n">
        <f aca="false">J13*J14</f>
        <v>109.197479846384</v>
      </c>
      <c r="K15" s="36" t="n">
        <f aca="false">K13*K14</f>
        <v>143.673236009544</v>
      </c>
      <c r="L15" s="36" t="n">
        <f aca="false">L13*L14</f>
        <v>161.008704124557</v>
      </c>
      <c r="M15" s="36" t="n">
        <f aca="false">M13*M14</f>
        <v>184.384584478651</v>
      </c>
      <c r="N15" s="36" t="n">
        <f aca="false">N13*N14</f>
        <v>183.403272746372</v>
      </c>
      <c r="O15" s="36" t="n">
        <f aca="false">O13*O14</f>
        <v>163.025131330108</v>
      </c>
      <c r="P15" s="36" t="n">
        <f aca="false">P13*P14</f>
        <v>144.911227848985</v>
      </c>
      <c r="Q15" s="36" t="n">
        <f aca="false">Q13*Q14</f>
        <v>19.3214970465313</v>
      </c>
      <c r="R15" s="36" t="n">
        <f aca="false">R13*R14</f>
        <v>17.1746640413612</v>
      </c>
      <c r="S15" s="36" t="n">
        <f aca="false">S13*S14</f>
        <v>15.2663680367655</v>
      </c>
      <c r="T15" s="36" t="n">
        <f aca="false">T13*T14</f>
        <v>13.5701049215693</v>
      </c>
      <c r="U15" s="36" t="n">
        <f aca="false">U13*U14</f>
        <v>12.0623154858394</v>
      </c>
      <c r="V15" s="36" t="n">
        <f aca="false">V13*V14</f>
        <v>10.722058209635</v>
      </c>
    </row>
    <row r="17" customFormat="false" ht="15" hidden="false" customHeight="true" outlineLevel="0" collapsed="false">
      <c r="B17" s="17" t="s">
        <v>184</v>
      </c>
      <c r="C17" s="29" t="n">
        <f aca="false">SUM(C15:V15)</f>
        <v>1060.52824348839</v>
      </c>
    </row>
    <row r="19" customFormat="false" ht="15" hidden="false" customHeight="true" outlineLevel="0" collapsed="false">
      <c r="A19" s="14" t="s">
        <v>185</v>
      </c>
      <c r="B19" s="14"/>
      <c r="C19" s="14"/>
      <c r="D19" s="14"/>
      <c r="E19" s="14"/>
      <c r="F19" s="14"/>
      <c r="G19" s="14"/>
      <c r="H19" s="14"/>
    </row>
    <row r="21" customFormat="false" ht="42.75" hidden="false" customHeight="true" outlineLevel="0" collapsed="false">
      <c r="B21" s="7" t="s">
        <v>186</v>
      </c>
      <c r="C21" s="12" t="n">
        <f aca="false">V13</f>
        <v>106.598808</v>
      </c>
      <c r="X21" s="9" t="s">
        <v>187</v>
      </c>
    </row>
    <row r="22" customFormat="false" ht="32.25" hidden="false" customHeight="true" outlineLevel="0" collapsed="false">
      <c r="B22" s="7" t="s">
        <v>188</v>
      </c>
      <c r="C22" s="45" t="n">
        <v>0</v>
      </c>
      <c r="X22" s="9" t="s">
        <v>189</v>
      </c>
    </row>
    <row r="23" customFormat="false" ht="15" hidden="false" customHeight="true" outlineLevel="0" collapsed="false">
      <c r="B23" s="7" t="s">
        <v>190</v>
      </c>
      <c r="C23" s="12" t="n">
        <f aca="false">C21*(1+C22)/('Cover &amp; Assumptions'!$F$55-C22)</f>
        <v>852.790464</v>
      </c>
    </row>
    <row r="24" customFormat="false" ht="15" hidden="false" customHeight="true" outlineLevel="0" collapsed="false">
      <c r="B24" s="17" t="s">
        <v>191</v>
      </c>
      <c r="C24" s="29" t="n">
        <f aca="false">C23*V14</f>
        <v>85.7764656770802</v>
      </c>
    </row>
    <row r="26" customFormat="false" ht="15" hidden="false" customHeight="true" outlineLevel="0" collapsed="false">
      <c r="A26" s="14" t="s">
        <v>192</v>
      </c>
      <c r="B26" s="14"/>
      <c r="C26" s="14"/>
      <c r="D26" s="14"/>
      <c r="E26" s="14"/>
      <c r="F26" s="14"/>
      <c r="G26" s="14"/>
      <c r="H26" s="14"/>
    </row>
    <row r="28" customFormat="false" ht="15" hidden="false" customHeight="true" outlineLevel="0" collapsed="false">
      <c r="B28" s="7" t="s">
        <v>193</v>
      </c>
      <c r="C28" s="12" t="n">
        <f aca="false">C17</f>
        <v>1060.52824348839</v>
      </c>
    </row>
    <row r="29" customFormat="false" ht="15" hidden="false" customHeight="true" outlineLevel="0" collapsed="false">
      <c r="B29" s="7" t="s">
        <v>191</v>
      </c>
      <c r="C29" s="12" t="n">
        <f aca="false">C24</f>
        <v>85.7764656770802</v>
      </c>
    </row>
    <row r="30" customFormat="false" ht="32.25" hidden="false" customHeight="true" outlineLevel="0" collapsed="false">
      <c r="B30" s="7" t="s">
        <v>194</v>
      </c>
      <c r="C30" s="12" t="n">
        <f aca="false">110*0.5</f>
        <v>55</v>
      </c>
      <c r="X30" s="9" t="s">
        <v>195</v>
      </c>
    </row>
    <row r="31" customFormat="false" ht="32.25" hidden="false" customHeight="true" outlineLevel="0" collapsed="false">
      <c r="B31" s="7" t="s">
        <v>196</v>
      </c>
      <c r="C31" s="12" t="n">
        <f aca="false">'Cover &amp; Assumptions'!$F$57*2</f>
        <v>60</v>
      </c>
      <c r="X31" s="9" t="s">
        <v>197</v>
      </c>
    </row>
    <row r="32" customFormat="false" ht="15" hidden="false" customHeight="true" outlineLevel="0" collapsed="false">
      <c r="B32" s="17" t="s">
        <v>198</v>
      </c>
      <c r="C32" s="29" t="n">
        <f aca="false">SUM(C28:C31)</f>
        <v>1261.30470916547</v>
      </c>
    </row>
    <row r="33" customFormat="false" ht="15" hidden="false" customHeight="true" outlineLevel="0" collapsed="false">
      <c r="B33" s="7" t="s">
        <v>169</v>
      </c>
      <c r="C33" s="13" t="n">
        <f aca="false">'Cover &amp; Assumptions'!C15-'Cover &amp; Assumptions'!C16</f>
        <v>52.031</v>
      </c>
    </row>
    <row r="34" customFormat="false" ht="15" hidden="false" customHeight="true" outlineLevel="0" collapsed="false">
      <c r="B34" s="38" t="s">
        <v>199</v>
      </c>
      <c r="C34" s="40" t="n">
        <f aca="false">C32+C33</f>
        <v>1313.33570916547</v>
      </c>
    </row>
    <row r="35" customFormat="false" ht="15" hidden="false" customHeight="true" outlineLevel="0" collapsed="false">
      <c r="B35" s="7" t="s">
        <v>173</v>
      </c>
      <c r="C35" s="41" t="n">
        <f aca="false">'Cover &amp; Assumptions'!C12</f>
        <v>78.48</v>
      </c>
    </row>
    <row r="37" customFormat="false" ht="15" hidden="false" customHeight="true" outlineLevel="0" collapsed="false">
      <c r="B37" s="42" t="s">
        <v>200</v>
      </c>
      <c r="C37" s="43" t="n">
        <f aca="false">C34/C35</f>
        <v>16.73465480588</v>
      </c>
    </row>
    <row r="39" customFormat="false" ht="54.75" hidden="false" customHeight="true" outlineLevel="0" collapsed="false">
      <c r="B39" s="16" t="s">
        <v>201</v>
      </c>
      <c r="C39" s="16"/>
      <c r="D39" s="16"/>
      <c r="E39" s="16"/>
      <c r="F39" s="16"/>
      <c r="G39" s="16"/>
      <c r="H39" s="16"/>
      <c r="I39" s="16"/>
      <c r="J39" s="16"/>
      <c r="K39" s="16"/>
    </row>
    <row r="40" customFormat="false" ht="15" hidden="false" customHeight="true" outlineLevel="0" collapsed="false">
      <c r="B40" s="16"/>
      <c r="C40" s="16"/>
      <c r="D40" s="16"/>
      <c r="E40" s="16"/>
      <c r="F40" s="16"/>
      <c r="G40" s="16"/>
      <c r="H40" s="16"/>
      <c r="I40" s="16"/>
      <c r="J40" s="16"/>
      <c r="K40" s="16"/>
    </row>
    <row r="41" customFormat="false" ht="15" hidden="false" customHeight="true" outlineLevel="0" collapsed="false">
      <c r="B41" s="16"/>
      <c r="C41" s="16"/>
      <c r="D41" s="16"/>
      <c r="E41" s="16"/>
      <c r="F41" s="16"/>
      <c r="G41" s="16"/>
      <c r="H41" s="16"/>
      <c r="I41" s="16"/>
      <c r="J41" s="16"/>
      <c r="K41" s="16"/>
    </row>
  </sheetData>
  <mergeCells count="2">
    <mergeCell ref="B3:V5"/>
    <mergeCell ref="B39:K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6" min="3" style="1" width="16"/>
    <col collapsed="false" customWidth="true" hidden="false" outlineLevel="0" max="7" min="7" style="1" width="50"/>
    <col collapsed="false" customWidth="true" hidden="false" outlineLevel="0" max="8" min="8" style="1" width="3"/>
  </cols>
  <sheetData>
    <row r="2" customFormat="false" ht="19.5" hidden="false" customHeight="true" outlineLevel="0" collapsed="false">
      <c r="B2" s="2" t="s">
        <v>202</v>
      </c>
      <c r="C2" s="2"/>
      <c r="D2" s="2"/>
      <c r="E2" s="2"/>
      <c r="F2" s="2"/>
      <c r="G2" s="2"/>
    </row>
    <row r="3" customFormat="false" ht="27.75" hidden="false" customHeight="true" outlineLevel="0" collapsed="false">
      <c r="B3" s="27" t="s">
        <v>203</v>
      </c>
      <c r="C3" s="27"/>
      <c r="D3" s="27"/>
      <c r="E3" s="27"/>
      <c r="F3" s="27"/>
      <c r="G3" s="27"/>
    </row>
    <row r="5" customFormat="false" ht="15" hidden="false" customHeight="true" outlineLevel="0" collapsed="false">
      <c r="A5" s="14" t="s">
        <v>204</v>
      </c>
      <c r="B5" s="14"/>
      <c r="C5" s="14"/>
      <c r="D5" s="14"/>
      <c r="E5" s="14"/>
      <c r="F5" s="14"/>
      <c r="G5" s="14"/>
      <c r="H5" s="14"/>
    </row>
    <row r="7" customFormat="false" ht="54.75" hidden="false" customHeight="true" outlineLevel="0" collapsed="false">
      <c r="B7" s="17" t="s">
        <v>205</v>
      </c>
      <c r="C7" s="20" t="s">
        <v>206</v>
      </c>
      <c r="D7" s="20"/>
      <c r="E7" s="4" t="s">
        <v>207</v>
      </c>
      <c r="F7" s="4"/>
      <c r="G7" s="4"/>
    </row>
    <row r="8" customFormat="false" ht="54.75" hidden="false" customHeight="true" outlineLevel="0" collapsed="false">
      <c r="B8" s="17" t="s">
        <v>208</v>
      </c>
      <c r="C8" s="20" t="s">
        <v>209</v>
      </c>
      <c r="D8" s="20"/>
      <c r="E8" s="4" t="s">
        <v>210</v>
      </c>
      <c r="F8" s="4"/>
      <c r="G8" s="4"/>
    </row>
    <row r="9" customFormat="false" ht="54.75" hidden="false" customHeight="true" outlineLevel="0" collapsed="false">
      <c r="B9" s="17" t="s">
        <v>211</v>
      </c>
      <c r="C9" s="20" t="s">
        <v>212</v>
      </c>
      <c r="D9" s="20"/>
      <c r="E9" s="4" t="s">
        <v>213</v>
      </c>
      <c r="F9" s="4"/>
      <c r="G9" s="4"/>
    </row>
    <row r="11" customFormat="false" ht="15" hidden="false" customHeight="true" outlineLevel="0" collapsed="false">
      <c r="A11" s="14" t="s">
        <v>214</v>
      </c>
      <c r="B11" s="14"/>
      <c r="C11" s="14"/>
      <c r="D11" s="14"/>
      <c r="E11" s="14"/>
      <c r="F11" s="14"/>
      <c r="G11" s="14"/>
      <c r="H11" s="14"/>
    </row>
    <row r="13" customFormat="false" ht="42" hidden="false" customHeight="true" outlineLevel="0" collapsed="false">
      <c r="B13" s="20" t="s">
        <v>215</v>
      </c>
      <c r="C13" s="28" t="n">
        <v>190</v>
      </c>
      <c r="E13" s="4" t="s">
        <v>216</v>
      </c>
      <c r="F13" s="4"/>
      <c r="G13" s="4"/>
    </row>
    <row r="14" customFormat="false" ht="42" hidden="false" customHeight="true" outlineLevel="0" collapsed="false">
      <c r="B14" s="20" t="s">
        <v>217</v>
      </c>
      <c r="C14" s="28" t="n">
        <v>2700</v>
      </c>
      <c r="E14" s="4" t="s">
        <v>218</v>
      </c>
      <c r="F14" s="4"/>
      <c r="G14" s="4"/>
    </row>
    <row r="15" customFormat="false" ht="54.75" hidden="false" customHeight="true" outlineLevel="0" collapsed="false">
      <c r="B15" s="17" t="s">
        <v>219</v>
      </c>
      <c r="C15" s="46" t="n">
        <f aca="false">C13/C14</f>
        <v>0.0703703703703704</v>
      </c>
      <c r="E15" s="4" t="s">
        <v>220</v>
      </c>
      <c r="F15" s="4"/>
      <c r="G15" s="4"/>
    </row>
    <row r="17" customFormat="false" ht="15" hidden="false" customHeight="true" outlineLevel="0" collapsed="false">
      <c r="A17" s="14" t="s">
        <v>221</v>
      </c>
      <c r="B17" s="14"/>
      <c r="C17" s="14"/>
      <c r="D17" s="14"/>
      <c r="E17" s="14"/>
      <c r="F17" s="14"/>
      <c r="G17" s="14"/>
      <c r="H17" s="14"/>
    </row>
    <row r="19" customFormat="false" ht="15" hidden="false" customHeight="true" outlineLevel="0" collapsed="false">
      <c r="B19" s="7" t="s">
        <v>222</v>
      </c>
      <c r="C19" s="13" t="n">
        <f aca="false">MAX('rNPV Model'!C12:V12)</f>
        <v>810</v>
      </c>
    </row>
    <row r="20" customFormat="false" ht="15" hidden="false" customHeight="true" outlineLevel="0" collapsed="false">
      <c r="B20" s="7" t="s">
        <v>223</v>
      </c>
      <c r="C20" s="13" t="n">
        <f aca="false">MAX('rNPV Model'!C32:V32)</f>
        <v>792</v>
      </c>
    </row>
    <row r="21" customFormat="false" ht="15" hidden="false" customHeight="true" outlineLevel="0" collapsed="false">
      <c r="B21" s="7" t="s">
        <v>224</v>
      </c>
      <c r="C21" s="47" t="n">
        <f aca="false">'rNPV Model'!$C$20</f>
        <v>0.3</v>
      </c>
    </row>
    <row r="22" customFormat="false" ht="15" hidden="false" customHeight="true" outlineLevel="0" collapsed="false">
      <c r="B22" s="7" t="s">
        <v>225</v>
      </c>
      <c r="C22" s="47" t="n">
        <f aca="false">'rNPV Model'!$C$40</f>
        <v>0.28</v>
      </c>
    </row>
    <row r="23" customFormat="false" ht="15" hidden="false" customHeight="true" outlineLevel="0" collapsed="false">
      <c r="B23" s="38" t="s">
        <v>226</v>
      </c>
      <c r="C23" s="40" t="n">
        <f aca="false">C19*C21+C20*C22</f>
        <v>464.76</v>
      </c>
    </row>
    <row r="25" customFormat="false" ht="15" hidden="false" customHeight="true" outlineLevel="0" collapsed="false">
      <c r="A25" s="14" t="s">
        <v>227</v>
      </c>
      <c r="B25" s="14"/>
      <c r="C25" s="14"/>
      <c r="D25" s="14"/>
      <c r="E25" s="14"/>
      <c r="F25" s="14"/>
      <c r="G25" s="14"/>
      <c r="H25" s="14"/>
    </row>
    <row r="27" customFormat="false" ht="15" hidden="false" customHeight="true" outlineLevel="0" collapsed="false">
      <c r="B27" s="17" t="s">
        <v>228</v>
      </c>
      <c r="C27" s="29" t="n">
        <f aca="false">C15*C23</f>
        <v>32.7053333333333</v>
      </c>
    </row>
    <row r="28" customFormat="false" ht="15" hidden="false" customHeight="true" outlineLevel="0" collapsed="false">
      <c r="B28" s="7" t="s">
        <v>169</v>
      </c>
      <c r="C28" s="13" t="n">
        <f aca="false">'Cover &amp; Assumptions'!C15-'Cover &amp; Assumptions'!C16</f>
        <v>52.031</v>
      </c>
    </row>
    <row r="29" customFormat="false" ht="15" hidden="false" customHeight="true" outlineLevel="0" collapsed="false">
      <c r="B29" s="38" t="s">
        <v>229</v>
      </c>
      <c r="C29" s="40" t="n">
        <f aca="false">C27+C28</f>
        <v>84.7363333333333</v>
      </c>
    </row>
    <row r="30" customFormat="false" ht="15" hidden="false" customHeight="true" outlineLevel="0" collapsed="false">
      <c r="B30" s="7" t="s">
        <v>173</v>
      </c>
      <c r="C30" s="41" t="n">
        <f aca="false">'Cover &amp; Assumptions'!C12</f>
        <v>78.48</v>
      </c>
    </row>
    <row r="32" customFormat="false" ht="15" hidden="false" customHeight="true" outlineLevel="0" collapsed="false">
      <c r="B32" s="42" t="s">
        <v>230</v>
      </c>
      <c r="C32" s="43" t="n">
        <f aca="false">C29/C30</f>
        <v>1.07971882432892</v>
      </c>
    </row>
    <row r="34" customFormat="false" ht="15" hidden="false" customHeight="true" outlineLevel="0" collapsed="false">
      <c r="A34" s="14" t="s">
        <v>231</v>
      </c>
      <c r="B34" s="14"/>
      <c r="C34" s="14"/>
      <c r="D34" s="14"/>
      <c r="E34" s="14"/>
      <c r="F34" s="14"/>
      <c r="G34" s="14"/>
      <c r="H34" s="14"/>
    </row>
    <row r="36" customFormat="false" ht="60" hidden="false" customHeight="true" outlineLevel="0" collapsed="false">
      <c r="B36" s="17" t="s">
        <v>232</v>
      </c>
      <c r="C36" s="20" t="s">
        <v>233</v>
      </c>
      <c r="D36" s="20"/>
      <c r="E36" s="4" t="s">
        <v>234</v>
      </c>
      <c r="F36" s="4"/>
      <c r="G36" s="4"/>
    </row>
    <row r="37" customFormat="false" ht="60" hidden="false" customHeight="true" outlineLevel="0" collapsed="false">
      <c r="B37" s="17" t="s">
        <v>235</v>
      </c>
      <c r="C37" s="20" t="s">
        <v>236</v>
      </c>
      <c r="D37" s="20"/>
      <c r="E37" s="4" t="s">
        <v>237</v>
      </c>
      <c r="F37" s="4"/>
      <c r="G37" s="4"/>
    </row>
    <row r="39" customFormat="false" ht="54.75" hidden="false" customHeight="true" outlineLevel="0" collapsed="false">
      <c r="B39" s="16" t="s">
        <v>238</v>
      </c>
      <c r="C39" s="16"/>
      <c r="D39" s="16"/>
      <c r="E39" s="16"/>
      <c r="F39" s="16"/>
      <c r="G39" s="16"/>
    </row>
    <row r="40" customFormat="false" ht="15" hidden="false" customHeight="true" outlineLevel="0" collapsed="false">
      <c r="B40" s="16"/>
      <c r="C40" s="16"/>
      <c r="D40" s="16"/>
      <c r="E40" s="16"/>
      <c r="F40" s="16"/>
      <c r="G40" s="16"/>
    </row>
    <row r="41" customFormat="false" ht="15" hidden="false" customHeight="true" outlineLevel="0" collapsed="false">
      <c r="B41" s="16"/>
      <c r="C41" s="16"/>
      <c r="D41" s="16"/>
      <c r="E41" s="16"/>
      <c r="F41" s="16"/>
      <c r="G41" s="16"/>
    </row>
  </sheetData>
  <mergeCells count="16">
    <mergeCell ref="B2:G2"/>
    <mergeCell ref="B3:G3"/>
    <mergeCell ref="C7:D7"/>
    <mergeCell ref="E7:G7"/>
    <mergeCell ref="C8:D8"/>
    <mergeCell ref="E8:G8"/>
    <mergeCell ref="C9:D9"/>
    <mergeCell ref="E9:G9"/>
    <mergeCell ref="E13:G13"/>
    <mergeCell ref="E14:G14"/>
    <mergeCell ref="E15:G15"/>
    <mergeCell ref="C36:D36"/>
    <mergeCell ref="E36:G36"/>
    <mergeCell ref="C37:D37"/>
    <mergeCell ref="E37:G37"/>
    <mergeCell ref="B39: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5"/>
    <col collapsed="false" customWidth="true" hidden="false" outlineLevel="0" max="4" min="4" style="1" width="13"/>
    <col collapsed="false" customWidth="true" hidden="false" outlineLevel="0" max="5" min="5" style="1" width="15"/>
    <col collapsed="false" customWidth="true" hidden="false" outlineLevel="0" max="6" min="6" style="1" width="50"/>
    <col collapsed="false" customWidth="true" hidden="false" outlineLevel="0" max="7" min="7" style="1" width="3"/>
  </cols>
  <sheetData>
    <row r="2" customFormat="false" ht="19.5" hidden="false" customHeight="true" outlineLevel="0" collapsed="false">
      <c r="B2" s="2" t="s">
        <v>239</v>
      </c>
      <c r="C2" s="2"/>
      <c r="D2" s="2"/>
      <c r="E2" s="2"/>
      <c r="F2" s="2"/>
    </row>
    <row r="3" customFormat="false" ht="27.75" hidden="false" customHeight="true" outlineLevel="0" collapsed="false">
      <c r="B3" s="27" t="s">
        <v>240</v>
      </c>
      <c r="C3" s="27"/>
      <c r="D3" s="27"/>
      <c r="E3" s="27"/>
      <c r="F3" s="27"/>
    </row>
    <row r="5" customFormat="false" ht="15" hidden="false" customHeight="true" outlineLevel="0" collapsed="false">
      <c r="B5" s="17" t="s">
        <v>241</v>
      </c>
      <c r="C5" s="48" t="n">
        <f aca="false">'Cover &amp; Assumptions'!C10</f>
        <v>2.4</v>
      </c>
    </row>
    <row r="7" customFormat="false" ht="15" hidden="false" customHeight="true" outlineLevel="0" collapsed="false">
      <c r="A7" s="14" t="s">
        <v>242</v>
      </c>
      <c r="B7" s="14"/>
      <c r="C7" s="14"/>
      <c r="D7" s="14"/>
      <c r="E7" s="14"/>
      <c r="F7" s="14"/>
      <c r="G7" s="14"/>
      <c r="H7" s="14"/>
    </row>
    <row r="9" customFormat="false" ht="15" hidden="false" customHeight="true" outlineLevel="0" collapsed="false">
      <c r="B9" s="19" t="s">
        <v>243</v>
      </c>
      <c r="C9" s="19" t="s">
        <v>244</v>
      </c>
      <c r="D9" s="19" t="s">
        <v>245</v>
      </c>
      <c r="E9" s="19" t="s">
        <v>246</v>
      </c>
    </row>
    <row r="10" customFormat="false" ht="15" hidden="false" customHeight="true" outlineLevel="0" collapsed="false">
      <c r="B10" s="7" t="s">
        <v>247</v>
      </c>
      <c r="C10" s="48" t="n">
        <f aca="false">'rNPV Model'!C59</f>
        <v>5.07322519602634</v>
      </c>
      <c r="D10" s="21" t="n">
        <v>0.6</v>
      </c>
      <c r="E10" s="49" t="n">
        <f aca="false">C10*D10</f>
        <v>3.0439351176158</v>
      </c>
    </row>
    <row r="11" customFormat="false" ht="15" hidden="false" customHeight="true" outlineLevel="0" collapsed="false">
      <c r="B11" s="7" t="s">
        <v>248</v>
      </c>
      <c r="C11" s="48" t="n">
        <f aca="false">'Relative Valuation'!C32</f>
        <v>1.07971882432892</v>
      </c>
      <c r="D11" s="21" t="n">
        <v>0.4</v>
      </c>
      <c r="E11" s="49" t="n">
        <f aca="false">C11*D11</f>
        <v>0.431887529731566</v>
      </c>
    </row>
    <row r="12" customFormat="false" ht="15" hidden="false" customHeight="true" outlineLevel="0" collapsed="false">
      <c r="B12" s="50" t="s">
        <v>249</v>
      </c>
      <c r="D12" s="51" t="n">
        <f aca="false">D10+D11</f>
        <v>1</v>
      </c>
    </row>
    <row r="13" customFormat="false" ht="15" hidden="false" customHeight="true" outlineLevel="0" collapsed="false">
      <c r="B13" s="42" t="s">
        <v>250</v>
      </c>
      <c r="E13" s="43" t="n">
        <f aca="false">E10+E11</f>
        <v>3.47582264734737</v>
      </c>
    </row>
    <row r="14" customFormat="false" ht="15" hidden="false" customHeight="true" outlineLevel="0" collapsed="false">
      <c r="B14" s="17" t="s">
        <v>251</v>
      </c>
      <c r="E14" s="52" t="n">
        <f aca="false">E13/C5-1</f>
        <v>0.448259436394737</v>
      </c>
    </row>
    <row r="16" customFormat="false" ht="15" hidden="false" customHeight="true" outlineLevel="0" collapsed="false">
      <c r="B16" s="15" t="s">
        <v>252</v>
      </c>
    </row>
    <row r="17" customFormat="false" ht="15" hidden="false" customHeight="true" outlineLevel="0" collapsed="false">
      <c r="B17" s="7" t="s">
        <v>253</v>
      </c>
      <c r="C17" s="48" t="n">
        <f aca="false">'DCF Model'!C37</f>
        <v>16.73465480588</v>
      </c>
    </row>
    <row r="18" customFormat="false" ht="42.75" hidden="false" customHeight="true" outlineLevel="0" collapsed="false">
      <c r="B18" s="7" t="s">
        <v>254</v>
      </c>
      <c r="C18" s="48" t="n">
        <f aca="false">'rNPV Model'!C59</f>
        <v>5.07322519602634</v>
      </c>
      <c r="F18" s="9" t="s">
        <v>255</v>
      </c>
    </row>
    <row r="19" customFormat="false" ht="53.25" hidden="false" customHeight="true" outlineLevel="0" collapsed="false">
      <c r="B19" s="7" t="s">
        <v>256</v>
      </c>
      <c r="C19" s="8" t="n">
        <v>7</v>
      </c>
      <c r="F19" s="9" t="s">
        <v>257</v>
      </c>
    </row>
    <row r="21" customFormat="false" ht="15" hidden="false" customHeight="true" outlineLevel="0" collapsed="false">
      <c r="A21" s="14" t="s">
        <v>258</v>
      </c>
      <c r="B21" s="14"/>
      <c r="C21" s="14"/>
      <c r="D21" s="14"/>
      <c r="E21" s="14"/>
      <c r="F21" s="14"/>
      <c r="G21" s="14"/>
      <c r="H21" s="14"/>
    </row>
    <row r="23" customFormat="false" ht="15" hidden="false" customHeight="true" outlineLevel="0" collapsed="false">
      <c r="B23" s="19" t="s">
        <v>259</v>
      </c>
      <c r="C23" s="19" t="s">
        <v>260</v>
      </c>
      <c r="D23" s="19" t="s">
        <v>261</v>
      </c>
      <c r="E23" s="19" t="s">
        <v>262</v>
      </c>
    </row>
    <row r="24" customFormat="false" ht="45.75" hidden="false" customHeight="true" outlineLevel="0" collapsed="false">
      <c r="B24" s="20" t="s">
        <v>263</v>
      </c>
      <c r="C24" s="53" t="n">
        <v>-1.13</v>
      </c>
      <c r="D24" s="53" t="n">
        <v>1.13</v>
      </c>
      <c r="E24" s="4" t="s">
        <v>264</v>
      </c>
      <c r="F24" s="4"/>
    </row>
    <row r="25" customFormat="false" ht="45.75" hidden="false" customHeight="true" outlineLevel="0" collapsed="false">
      <c r="B25" s="20" t="s">
        <v>265</v>
      </c>
      <c r="C25" s="53" t="n">
        <v>-1.13</v>
      </c>
      <c r="D25" s="53" t="n">
        <v>1.13</v>
      </c>
      <c r="E25" s="4" t="s">
        <v>266</v>
      </c>
      <c r="F25" s="4"/>
    </row>
    <row r="26" customFormat="false" ht="45.75" hidden="false" customHeight="true" outlineLevel="0" collapsed="false">
      <c r="B26" s="20" t="s">
        <v>267</v>
      </c>
      <c r="C26" s="53" t="n">
        <v>-0.75</v>
      </c>
      <c r="D26" s="53" t="n">
        <v>0.94</v>
      </c>
      <c r="E26" s="4" t="s">
        <v>268</v>
      </c>
      <c r="F26" s="4"/>
    </row>
    <row r="27" customFormat="false" ht="45.75" hidden="false" customHeight="true" outlineLevel="0" collapsed="false">
      <c r="B27" s="20" t="s">
        <v>269</v>
      </c>
      <c r="C27" s="53" t="n">
        <v>-0.65</v>
      </c>
      <c r="D27" s="53" t="n">
        <v>0.65</v>
      </c>
      <c r="E27" s="4" t="s">
        <v>270</v>
      </c>
      <c r="F27" s="4"/>
    </row>
    <row r="28" customFormat="false" ht="45.75" hidden="false" customHeight="true" outlineLevel="0" collapsed="false">
      <c r="B28" s="20" t="s">
        <v>271</v>
      </c>
      <c r="C28" s="53" t="n">
        <v>-0.35</v>
      </c>
      <c r="D28" s="53" t="n">
        <v>0.35</v>
      </c>
      <c r="E28" s="4" t="s">
        <v>272</v>
      </c>
      <c r="F28" s="4"/>
    </row>
    <row r="30" customFormat="false" ht="54.75" hidden="false" customHeight="true" outlineLevel="0" collapsed="false">
      <c r="B30" s="16" t="s">
        <v>273</v>
      </c>
      <c r="C30" s="16"/>
      <c r="D30" s="16"/>
      <c r="E30" s="16"/>
      <c r="F30" s="16"/>
    </row>
    <row r="31" customFormat="false" ht="15" hidden="false" customHeight="true" outlineLevel="0" collapsed="false">
      <c r="B31" s="16"/>
      <c r="C31" s="16"/>
      <c r="D31" s="16"/>
      <c r="E31" s="16"/>
      <c r="F31" s="16"/>
    </row>
    <row r="32" customFormat="false" ht="15" hidden="false" customHeight="true" outlineLevel="0" collapsed="false">
      <c r="B32" s="16"/>
      <c r="C32" s="16"/>
      <c r="D32" s="16"/>
      <c r="E32" s="16"/>
      <c r="F32" s="16"/>
    </row>
  </sheetData>
  <mergeCells count="8">
    <mergeCell ref="B2:F2"/>
    <mergeCell ref="B3:F3"/>
    <mergeCell ref="E24:F24"/>
    <mergeCell ref="E25:F25"/>
    <mergeCell ref="E26:F26"/>
    <mergeCell ref="E27:F27"/>
    <mergeCell ref="E28:F28"/>
    <mergeCell ref="B30: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2026-07-20T14:31:33Z</dcterms:created>
  <dc:creator>openpyxl</dc:creator>
  <dc:description/>
  <dc:language>en-US</dc:language>
  <cp:lastModifiedBy/>
  <dcterms:modified xsi:type="dcterms:W3CDTF">2026-07-21T08:49:09Z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